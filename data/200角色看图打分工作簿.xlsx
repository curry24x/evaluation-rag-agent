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1f2eda21df40d4" /></Relationships>
</file>

<file path=xl/workbook.xml><?xml version="1.0" encoding="utf-8"?>
<x:workbook xmlns:x="http://schemas.openxmlformats.org/spreadsheetml/2006/main">
  <x:sheets>
    <x:sheet xmlns:r="http://schemas.openxmlformats.org/officeDocument/2006/relationships" name="看图清单" sheetId="1" r:id="R67e4b33bf6d9436e"/>
    <x:sheet xmlns:r="http://schemas.openxmlformats.org/officeDocument/2006/relationships" name="打分记录" sheetId="2" r:id="R5bf0fff2e07f4d6c"/>
    <x:sheet xmlns:r="http://schemas.openxmlformats.org/officeDocument/2006/relationships" name="汇总" sheetId="3" r:id="Rc48998ff08f244a0"/>
    <x:sheet xmlns:r="http://schemas.openxmlformats.org/officeDocument/2006/relationships" name="判读规则" sheetId="4" r:id="R595fa3d828da412d"/>
    <x:sheet xmlns:r="http://schemas.openxmlformats.org/officeDocument/2006/relationships" name="修正说明" sheetId="5" r:id="Rc621eea2886f40e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7">
    <x:font>
      <x:sz val="11"/>
      <x:name val="Carlito"/>
    </x:font>
    <x:font>
      <x:b/>
      <x:sz val="11"/>
      <x:color rgb="FFFFFFFF"/>
      <x:name val="Carlito"/>
    </x:font>
    <x:font>
      <x:b/>
      <x:sz val="11"/>
      <x:color rgb="FF333333"/>
      <x:name val="Carlito"/>
    </x:font>
    <x:font>
      <x:b/>
      <x:sz val="15"/>
      <x:color rgb="FF1F4E5F"/>
      <x:name val="Carlito"/>
    </x:font>
    <x:font>
      <x:i/>
      <x:sz val="11"/>
      <x:color rgb="FF555555"/>
      <x:name val="Carlito"/>
    </x:font>
    <x:font>
      <x:b/>
      <x:sz val="11"/>
      <x:name val="Carlito"/>
    </x:font>
    <x:font>
      <x:b/>
      <x:sz val="12"/>
      <x:color rgb="FF1F4E5F"/>
      <x:name val="Carlito"/>
    </x:font>
  </x:fonts>
  <x:fills count="9">
    <x:fill>
      <x:patternFill patternType="none"/>
    </x:fill>
    <x:fill>
      <x:patternFill patternType="gray125"/>
    </x:fill>
    <x:fill>
      <x:patternFill patternType="solid">
        <x:fgColor rgb="FF1F4E5F"/>
      </x:patternFill>
    </x:fill>
    <x:fill>
      <x:patternFill patternType="solid">
        <x:fgColor rgb="FFEAF2FA"/>
      </x:patternFill>
    </x:fill>
    <x:fill>
      <x:patternFill patternType="solid">
        <x:fgColor rgb="FFFDF4E6"/>
      </x:patternFill>
    </x:fill>
    <x:fill>
      <x:patternFill patternType="solid">
        <x:fgColor rgb="FFFFF3CD"/>
      </x:patternFill>
    </x:fill>
    <x:fill>
      <x:patternFill patternType="solid">
        <x:fgColor rgb="FFEAF6EC"/>
      </x:patternFill>
    </x:fill>
    <x:fill>
      <x:patternFill patternType="solid">
        <x:fgColor rgb="FFF9ECF3"/>
      </x:patternFill>
    </x:fill>
    <x:fill>
      <x:patternFill patternType="solid">
        <x:fgColor rgb="FFE8EEF2"/>
      </x:patternFill>
    </x:fill>
  </x:fills>
  <x:borders count="3">
    <x:border/>
    <x:border>
      <x:left style="thin">
        <x:color rgb="FFD9D9D9"/>
      </x:left>
      <x:right style="thin">
        <x:color rgb="FFD9D9D9"/>
      </x:right>
      <x:top style="thin">
        <x:color rgb="FFD9D9D9"/>
      </x:top>
      <x:bottom style="thin">
        <x:color rgb="FFD9D9D9"/>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center" wrapText="1"/>
    </x:xf>
    <x:xf numFmtId="0" fontId="0"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1" xfId="0" applyNumberFormat="1" applyFont="1" applyFill="1" applyBorder="1" applyAlignment="1">
      <x:alignment horizontal="center" vertical="top" wrapText="1"/>
    </x:xf>
    <x:xf numFmtId="0" fontId="2" fillId="4" borderId="1" xfId="0" applyNumberFormat="1" applyFont="1" applyFill="1" applyBorder="1" applyAlignment="1">
      <x:alignment horizontal="center" vertical="center" wrapText="1"/>
    </x:xf>
    <x:xf numFmtId="0" fontId="0" fillId="5" borderId="1" xfId="0" applyNumberFormat="1" applyFont="1" applyFill="1" applyBorder="1" applyAlignment="1">
      <x:alignment vertical="top" wrapText="1"/>
    </x:xf>
    <x:xf numFmtId="0" fontId="0" fillId="5" borderId="1" xfId="0" applyNumberFormat="1" applyFont="1" applyFill="1" applyBorder="1" applyAlignment="1">
      <x:alignment horizontal="center" vertical="center" wrapText="1"/>
    </x:xf>
    <x:xf numFmtId="0" fontId="0" fillId="6"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6" borderId="1" xfId="0" applyNumberFormat="1" applyFont="1" applyFill="1" applyBorder="1" applyAlignment="1">
      <x:alignment horizontal="center" vertical="top" wrapText="1"/>
    </x:xf>
    <x:xf numFmtId="0" fontId="2" fillId="6" borderId="1" xfId="0" applyNumberFormat="1" applyFont="1" applyFill="1" applyBorder="1" applyAlignment="1">
      <x:alignment horizontal="center" vertical="center" wrapText="1"/>
    </x:xf>
    <x:xf numFmtId="0" fontId="0" fillId="7"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7" borderId="1" xfId="0" applyNumberFormat="1" applyFont="1" applyFill="1" applyBorder="1" applyAlignment="1">
      <x:alignment horizontal="center" vertical="top" wrapText="1"/>
    </x:xf>
    <x:xf numFmtId="0" fontId="2" fillId="7"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1" fillId="2" borderId="2" xfId="0" applyNumberFormat="1" applyFont="1" applyFill="1" applyBorder="1"/>
    <x:xf numFmtId="0" fontId="1" fillId="2" borderId="2" xfId="0" applyNumberFormat="1" applyFont="1" applyFill="1" applyBorder="1" applyAlignment="1">
      <x:alignment horizontal="center"/>
    </x:xf>
    <x:xf numFmtId="0" fontId="1" fillId="2" borderId="2" xfId="0" applyNumberFormat="1" applyFont="1" applyFill="1" applyBorder="1" applyAlignment="1">
      <x:alignment horizontal="center" vertical="center"/>
    </x:xf>
    <x:xf numFmtId="0" fontId="0" fillId="0" borderId="1" xfId="0" applyNumberFormat="1" applyFont="1" applyFill="1" applyBorder="1" applyAlignment="1">
      <x:alignment horizontal="center"/>
    </x:xf>
    <x:xf numFmtId="0" fontId="0" fillId="0" borderId="1"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201" fontId="0" fillId="0" borderId="1" xfId="0" applyNumberFormat="1" applyFont="1" applyFill="1" applyBorder="1" applyAlignment="1">
      <x:alignment horizontal="center"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center"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xf numFmtId="0" fontId="5" fillId="4" borderId="1" xfId="0" applyNumberFormat="1" applyFont="1" applyFill="1" applyBorder="1" applyAlignment="1">
      <x:alignment horizontal="center" vertical="center" wrapText="1"/>
    </x:xf>
    <x:xf numFmtId="0" fontId="5" fillId="6" borderId="1"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5"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top" wrapText="1"/>
    </x:xf>
    <x:xf numFmtId="0" fontId="5" fillId="7" borderId="1" xfId="0" applyNumberFormat="1" applyFont="1" applyFill="1" applyBorder="1" applyAlignment="1">
      <x:alignment horizontal="center" vertical="top" wrapText="1"/>
    </x:xf>
    <x:xf numFmtId="0" fontId="5" fillId="7" borderId="1"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5" fillId="3" borderId="1" xfId="0" applyNumberFormat="1" applyFont="1" applyFill="1" applyBorder="1" applyAlignment="1">
      <x:alignment vertical="center" wrapText="1"/>
    </x:xf>
  </x:cellXfs>
  <x:cellStyles count="1">
    <x:cellStyle name="Normal" xfId="0"/>
  </x:cellStyles>
  <x:dxfs count="3">
    <x:dxf>
      <x:font>
        <x:b/>
        <x:color rgb="FF9C0006"/>
      </x:font>
      <x:fill>
        <x:patternFill patternType="solid">
          <x:bgColor rgb="FFF8CBCC"/>
        </x:patternFill>
      </x:fill>
    </x:dxf>
    <x:dxf>
      <x:font>
        <x:b/>
        <x:color rgb="FF006100"/>
      </x:font>
      <x:fill>
        <x:patternFill patternType="solid">
          <x:bgColor rgb="FFC6EFCE"/>
        </x:patternFill>
      </x:fill>
    </x:dxf>
    <x:dxf>
      <x:font>
        <x:b/>
        <x:color rgb="FF404040"/>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64cdc9e99f431d" /><Relationship Type="http://schemas.openxmlformats.org/officeDocument/2006/relationships/theme" Target="/xl/theme/theme1.xml" Id="R731cf8fe4f124236" /><Relationship Type="http://schemas.openxmlformats.org/officeDocument/2006/relationships/sharedStrings" Target="/xl/sharedStrings.xml" Id="Ra3886bab67e34e81" /><Relationship Type="http://schemas.openxmlformats.org/officeDocument/2006/relationships/worksheet" Target="/xl/worksheets/sheet1.xml" Id="R67e4b33bf6d9436e" /><Relationship Type="http://schemas.openxmlformats.org/officeDocument/2006/relationships/worksheet" Target="/xl/worksheets/sheet2.xml" Id="R5bf0fff2e07f4d6c" /><Relationship Type="http://schemas.openxmlformats.org/officeDocument/2006/relationships/worksheet" Target="/xl/worksheets/sheet3.xml" Id="Rc48998ff08f244a0" /><Relationship Type="http://schemas.openxmlformats.org/officeDocument/2006/relationships/worksheet" Target="/xl/worksheets/sheet4.xml" Id="R595fa3d828da412d" /><Relationship Type="http://schemas.openxmlformats.org/officeDocument/2006/relationships/worksheet" Target="/xl/worksheets/sheet5.xml" Id="Rc621eea2886f40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8" hidden="0" customWidth="1"/>
    <x:col min="3" max="3" width="30" hidden="0" customWidth="1"/>
    <x:col min="4" max="4" width="22" hidden="0" customWidth="1"/>
    <x:col min="5" max="5" width="48" hidden="0" customWidth="1"/>
    <x:col min="6" max="6" width="62" hidden="0" customWidth="1"/>
    <x:col min="7" max="7" width="30" hidden="0" customWidth="1"/>
  </x:cols>
  <x:sheetData>
    <x:row r="1" ht="32" customHeight="1">
      <x:c r="A1" s="5" t="str">
        <x:v>序号</x:v>
      </x:c>
      <x:c r="B1" s="5" t="str">
        <x:v>Tier</x:v>
      </x:c>
      <x:c r="C1" s="5" t="str">
        <x:v>角色 / 组合设定</x:v>
      </x:c>
      <x:c r="D1" s="5" t="str">
        <x:v>所属作品 / 类别</x:v>
      </x:c>
      <x:c r="E1" s="5" t="str">
        <x:v>核对顺序（原子特征）</x:v>
      </x:c>
      <x:c r="F1" s="5" t="str">
        <x:v>怎么看（判错红线）</x:v>
      </x:c>
      <x:c r="G1" s="5" t="str">
        <x:v>备注</x:v>
      </x:c>
    </x:row>
    <x:row r="2" ht="88" customHeight="1">
      <x:c r="A2" s="14" t="n">
        <x:v>1</x:v>
      </x:c>
      <x:c r="B2" s="12" t="str">
        <x:v>Tier 1</x:v>
      </x:c>
      <x:c r="C2" s="8" t="str">
        <x:v>鸣人 (NarutoUzumaki)</x:v>
      </x:c>
      <x:c r="D2" s="8" t="str">
        <x:v>火影忍者</x:v>
      </x:c>
      <x:c r="E2" s="8" t="str">
        <x:v>1."金色刺猬头"
2."脸颊各有三道狐须状纹理"
3."橙黑相间的运动外套"
4."佩戴木叶标志的护额"</x:v>
      </x:c>
      <x:c r="F2" s="8" t="str">
        <x:v>按顺序核对：
1."金色刺猬头"
2."脸颊各有三道狐须状纹理"
3."橙黑相间的运动外套"
4."佩戴木叶标志的护额"
四要素必须全齐、位置正确；少画一项或画错样式（如护额变发带、疤痕换边）→ 直接判错。
核心考点：基础面部纹理（狐须）的还原与特定服饰配色的强绑定能力，测试高频数据的记忆保真度。
任一红线触发 → 判错。</x:v>
      </x:c>
      <x:c r="G2" s="8" t="str"/>
    </x:row>
    <x:row r="3" ht="88" customHeight="1">
      <x:c r="A3" s="14" t="n">
        <x:v>2</x:v>
      </x:c>
      <x:c r="B3" s="12" t="str">
        <x:v>Tier 1</x:v>
      </x:c>
      <x:c r="C3" s="8" t="str">
        <x:v>路飞 (Monkey D.Luffy)</x:v>
      </x:c>
      <x:c r="D3" s="8" t="str">
        <x:v>海贼王</x:v>
      </x:c>
      <x:c r="E3" s="8" t="str">
        <x:v>1."头戴黄色草帽"
2."左眼下方有细小的缝针疤痕"
3."穿着红色无袖坎肩"
4."胸前有巨大的X型烧伤疤痕"</x:v>
      </x:c>
      <x:c r="F3" s="8" t="str">
        <x:v>按顺序核对：
1."头戴黄色草帽"
2."左眼下方有细小的缝针疤痕"
3."穿着红色无袖坎肩"
4."胸前有巨大的X型烧伤疤痕"
四要素必须全齐、位置正确；少画一项或画错样式（如护额变发带、疤痕换边）→ 直接判错。
核心考点：核心实体道具（草帽）的空间定位与身体特定部位微小创伤及巨大创伤的多尺度还原。
任一红线触发 → 判错。</x:v>
      </x:c>
      <x:c r="G3" s="8" t="str"/>
    </x:row>
    <x:row r="4" ht="88" customHeight="1">
      <x:c r="A4" s="14" t="n">
        <x:v>3</x:v>
      </x:c>
      <x:c r="B4" s="12" t="str">
        <x:v>Tier 1</x:v>
      </x:c>
      <x:c r="C4" s="8" t="str">
        <x:v>五条悟 (GojoSatoru)</x:v>
      </x:c>
      <x:c r="D4" s="8" t="str">
        <x:v>咒术回战</x:v>
      </x:c>
      <x:c r="E4" s="8" t="str">
        <x:v>1."向上竖立的银白色短发"
2."黑色眼罩完全遮挡双眼"
3."黑色高领长袖制服"
4."身高修长的体型"</x:v>
      </x:c>
      <x:c r="F4" s="8" t="str">
        <x:v>按顺序核对：
1."向上竖立的银白色短发"
2."黑色眼罩完全遮挡双眼"
3."黑色高领长袖制服"
4."身高修长的体型"
四要素必须全齐、位置正确；少画一项或画错样式（如护额变发带、疤痕换边）→ 直接判错。
核心考点：面部极其严重的视觉遮挡（眼罩）情况下的特征保留能力，以及黑白高反差色调的稳定控制。
任一红线触发 → 判错。</x:v>
      </x:c>
      <x:c r="G4" s="8" t="str"/>
    </x:row>
    <x:row r="5" ht="88" customHeight="1">
      <x:c r="A5" s="14" t="n">
        <x:v>4</x:v>
      </x:c>
      <x:c r="B5" s="12" t="str">
        <x:v>Tier 1</x:v>
      </x:c>
      <x:c r="C5" s="8" t="str">
        <x:v>孙悟空 (Goku)</x:v>
      </x:c>
      <x:c r="D5" s="8" t="str">
        <x:v>龙珠</x:v>
      </x:c>
      <x:c r="E5" s="8" t="str">
        <x:v>1."极具标志性的多向尖锐刺猬头"
2."橙色武道服配深蓝色内衬"
3."左胸口带有圆形汉字徽章"
4."肌肉极其发达"</x:v>
      </x:c>
      <x:c r="F5" s="8" t="str">
        <x:v>按顺序核对：
1."极具标志性的多向尖锐刺猬头"
2."橙色武道服配深蓝色内衬"
3."左胸口带有圆形汉字徽章"
4."肌肉极其发达"
四要素必须全齐、位置正确；少画一项或画错样式（如护额变发带、疤痕换边）→ 直接判错。
核心考点：经典几何发型的复杂三维立体建模能力与层叠服饰（内衬与外衣）的边缘分离识别。
任一红线触发 → 判错。</x:v>
      </x:c>
      <x:c r="G5" s="8" t="str"/>
    </x:row>
    <x:row r="6" ht="88" customHeight="1">
      <x:c r="A6" s="14" t="n">
        <x:v>5</x:v>
      </x:c>
      <x:c r="B6" s="12" t="str">
        <x:v>Tier 1</x:v>
      </x:c>
      <x:c r="C6" s="8" t="str">
        <x:v>灶门炭治郎(Tanjiro Kamado)</x:v>
      </x:c>
      <x:c r="D6" s="8" t="str">
        <x:v>鬼灭之刃</x:v>
      </x:c>
      <x:c r="E6" s="8" t="str">
        <x:v>1."额头左侧有深色火焰状斑纹"
2."佩戴日轮花纸耳饰"
3."黑绿相间的市松黑白格纹羽织"
4."暗红色短发"</x:v>
      </x:c>
      <x:c r="F6" s="8" t="str">
        <x:v>按顺序核对：
1."额头左侧有深色火焰状斑纹"
2."佩戴日轮花纸耳饰"
3."黑绿相间的市松黑白格纹羽织"
4."暗红色短发"
四要素必须全齐、位置正确；少画一项或画错样式（如护额变发带、疤痕换边）→ 直接判错。
核心考点：复杂几何排列图案（市松纹）的数学连续性生成，以及极细小配饰（纸耳饰）的像素级精度。
任一红线触发 → 判错。</x:v>
      </x:c>
      <x:c r="G6" s="8" t="str"/>
    </x:row>
    <x:row r="7" ht="88" customHeight="1">
      <x:c r="A7" s="14" t="n">
        <x:v>6</x:v>
      </x:c>
      <x:c r="B7" s="12" t="str">
        <x:v>Tier 1</x:v>
      </x:c>
      <x:c r="C7" s="8" t="str">
        <x:v>灶门祢豆子(NezukoKamado)</x:v>
      </x:c>
      <x:c r="D7" s="8" t="str">
        <x:v>鬼灭之刃</x:v>
      </x:c>
      <x:c r="E7" s="8" t="str">
        <x:v>1."嘴里咬着一截绿色竹筒"
2."粉色和服配黑色羽织"
3."长发且发尾呈现橙红色渐变"
4."粉色双眸"</x:v>
      </x:c>
      <x:c r="F7" s="8" t="str">
        <x:v>按顺序核对：
1."嘴里咬着一截绿色竹筒"
2."粉色和服配黑色羽织"
3."长发且发尾呈现橙红色渐变"
4."粉色双眸"
四要素必须全齐、位置正确；少画一项或画错样式（如护额变发带、疤痕换边）→ 直接判错。
核心考点：口部异物咬合状态的生成逻辑一致性（防止竹筒与嘴唇融合），以及发尾渐变色的精确控制。
任一红线触发 → 判错。</x:v>
      </x:c>
      <x:c r="G7" s="8" t="str"/>
    </x:row>
    <x:row r="8" ht="88" customHeight="1">
      <x:c r="A8" s="14" t="n">
        <x:v>7</x:v>
      </x:c>
      <x:c r="B8" s="12" t="str">
        <x:v>Tier 1</x:v>
      </x:c>
      <x:c r="C8" s="8" t="str">
        <x:v>利威尔 (LeviAckerman)</x:v>
      </x:c>
      <x:c r="D8" s="8" t="str">
        <x:v>进击的巨人</x:v>
      </x:c>
      <x:c r="E8" s="8" t="str">
        <x:v>1."黑色中分中短发"
2."死鱼眼且眼神锐利冰冷"
3."佩戴白色领巾"
4."身穿带有自由之翼标志的浅棕色短夹克"</x:v>
      </x:c>
      <x:c r="F8" s="8" t="str">
        <x:v>按顺序核对：
1."黑色中分中短发"
2."死鱼眼且眼神锐利冰冷"
3."佩戴白色领巾"
4."身穿带有自由之翼标志的浅棕色短夹克"
四要素必须全齐、位置正确；少画一项或画错样式（如护额变发带、疤痕换边）→ 直接判错。
核心考点：面部微表情（冷漠）的情感传达能力，以及特定阵营复杂徽章的融合而不产生乱码。
任一红线触发 → 判错。</x:v>
      </x:c>
      <x:c r="G8" s="8" t="str"/>
    </x:row>
    <x:row r="9" ht="88" customHeight="1">
      <x:c r="A9" s="14" t="n">
        <x:v>8</x:v>
      </x:c>
      <x:c r="B9" s="12" t="str">
        <x:v>Tier 1</x:v>
      </x:c>
      <x:c r="C9" s="8" t="str">
        <x:v>琦玉 (Saitama)</x:v>
      </x:c>
      <x:c r="D9" s="8" t="str">
        <x:v>一拳超人</x:v>
      </x:c>
      <x:c r="E9" s="8" t="str">
        <x:v>1."完全光头"
2."画风极其简化的圆润五官"
3."黄色连体紧身战斗服"
4."白色披风与红色手套"</x:v>
      </x:c>
      <x:c r="F9" s="8" t="str">
        <x:v>按顺序核对：
1."完全光头"
2."画风极其简化的圆润五官"
3."黄色连体紧身战斗服"
4."白色披风与红色手套"
四要素必须全齐、位置正确；少画一项或画错样式（如护额变发带、疤痕换边）→ 直接判错。
核心考点：极简特征的特征保留，避免扩散模型因过度发散而给光头强加发丝细节或过度复杂化五官。
任一红线触发 → 判错。</x:v>
      </x:c>
      <x:c r="G9" s="8" t="str"/>
    </x:row>
    <x:row r="10" ht="88" customHeight="1">
      <x:c r="A10" s="14" t="n">
        <x:v>9</x:v>
      </x:c>
      <x:c r="B10" s="12" t="str">
        <x:v>Tier 1</x:v>
      </x:c>
      <x:c r="C10" s="8" t="str">
        <x:v>索隆 (RoronoaZoro)</x:v>
      </x:c>
      <x:c r="D10" s="8" t="str">
        <x:v>海贼王</x:v>
      </x:c>
      <x:c r="E10" s="8" t="str">
        <x:v>1."绿色短发"
2."左眼有闭合的竖向刀疤"
3."腰间佩戴三把武士刀"
4."左耳戴着三只金色水滴状耳环"</x:v>
      </x:c>
      <x:c r="F10" s="8" t="str">
        <x:v>按顺序核对：
1."绿色短发"
2."左眼有闭合的竖向刀疤"
3."腰间佩戴三把武士刀"
4."左耳戴着三只金色水滴状耳环"
四要素必须全齐、位置正确；少画一项或画错样式（如护额变发带、疤痕换边）→ 直接判错。
核心考点：武器数量的严格数学精准控制（正好三把刀），以及特定面部创伤在三维旋转下的绝对位置固定。
任一红线触发 → 判错。</x:v>
      </x:c>
      <x:c r="G10" s="8" t="str"/>
    </x:row>
    <x:row r="11" ht="88" customHeight="1">
      <x:c r="A11" s="14" t="n">
        <x:v>10</x:v>
      </x:c>
      <x:c r="B11" s="12" t="str">
        <x:v>Tier 1</x:v>
      </x:c>
      <x:c r="C11" s="8" t="str">
        <x:v>杀生丸(Sesshomaru)</x:v>
      </x:c>
      <x:c r="D11" s="8" t="str">
        <x:v>犬夜叉</x:v>
      </x:c>
      <x:c r="E11" s="8" t="str">
        <x:v>1."银白色极长发"
2."额头有紫色月牙印记"
3."脸颊两侧各有两条红色妖纹"
4."右肩搭着巨大的白色毛茸茸毛皮"</x:v>
      </x:c>
      <x:c r="F11" s="8" t="str">
        <x:v>按顺序核对：
1."银白色极长发"
2."额头有紫色月牙印记"
3."脸颊两侧各有两条红色妖纹"
4."右肩搭着巨大的白色毛茸茸毛皮"
四要素必须全齐、位置正确；少画一项或画错样式（如护额变发带、疤痕换边）→ 直接判错。
核心考点：额头几何符号与面颊线状妖纹的双重面部覆盖，巨大的不规则附属物与身体骨骼的独立性。
任一红线触发 → 判错。</x:v>
      </x:c>
      <x:c r="G11" s="8" t="str"/>
    </x:row>
    <x:row r="12" ht="88" customHeight="1">
      <x:c r="A12" s="14" t="n">
        <x:v>11</x:v>
      </x:c>
      <x:c r="B12" s="12" t="str">
        <x:v>Tier 1</x:v>
      </x:c>
      <x:c r="C12" s="8" t="str">
        <x:v>爱德华·艾尔利克(Edward Elric)</x:v>
      </x:c>
      <x:c r="D12" s="8" t="str">
        <x:v>钢之炼金术师</x:v>
      </x:c>
      <x:c r="E12" s="8" t="str">
        <x:v>1."金色长发在脑后编成单麻花辫"
2."右臂为金属银色的机械铠"
3."红色长风衣背部有炼金符号"
4."身材矮小"</x:v>
      </x:c>
      <x:c r="F12" s="8" t="str">
        <x:v>按顺序核对：
1."金色长发在脑后编成单麻花辫"
2."右臂为金属银色的机械铠"
3."红色长风衣背部有炼金符号"
4."身材矮小"
四要素必须全齐、位置正确；少画一项或画错样式（如护额变发带、疤痕换边）→ 直接判错。
核心考点：异材质（金属机械与人体血肉）的左右非对称生成，挑战模型维持对称性的预训练先验。
任一红线触发 → 判错。</x:v>
      </x:c>
      <x:c r="G12" s="8" t="str"/>
    </x:row>
    <x:row r="13" ht="88" customHeight="1">
      <x:c r="A13" s="14" t="n">
        <x:v>12</x:v>
      </x:c>
      <x:c r="B13" s="12" t="str">
        <x:v>Tier 1</x:v>
      </x:c>
      <x:c r="C13" s="8" t="str">
        <x:v>樱木花道(HanamichiSakuragi)</x:v>
      </x:c>
      <x:c r="D13" s="8" t="str">
        <x:v>灌篮高手</x:v>
      </x:c>
      <x:c r="E13" s="8" t="str">
        <x:v>1."红色平头极短发"
2."身穿红色且印有数字10的湘北篮球背心"
3."身形高大肌肉匀称"
4."经常有逗比的Q版面部表情"</x:v>
      </x:c>
      <x:c r="F13" s="8" t="str">
        <x:v>按顺序核对：
1."红色平头极短发"
2."身穿红色且印有数字10的湘北篮球背心"
3."身形高大肌肉匀称"
4."经常有逗比的Q版面部表情"
四要素必须全齐、位置正确；少画一项或画错样式（如护额变发带、疤痕换边）→ 直接判错。
核心考点：体育类服饰特定数字序列的高清生成能力，以及角色特有极简颜艺表情与写实肌肉的冲突统合。
任一红线触发 → 判错。</x:v>
      </x:c>
      <x:c r="G13" s="8" t="str"/>
    </x:row>
    <x:row r="14" ht="88" customHeight="1">
      <x:c r="A14" s="14" t="n">
        <x:v>13</x:v>
      </x:c>
      <x:c r="B14" s="12" t="str">
        <x:v>Tier 1</x:v>
      </x:c>
      <x:c r="C14" s="8" t="str">
        <x:v>越前龙马(RyomaEchizen)</x:v>
      </x:c>
      <x:c r="D14" s="8" t="str">
        <x:v>网球王子</x:v>
      </x:c>
      <x:c r="E14" s="8" t="str">
        <x:v>1."戴着印有F标志的白色网球帽"
2."琥珀色大眼"
3."身穿蓝白相间的青春学园网球正选队服"
4."手持红色网球拍"</x:v>
      </x:c>
      <x:c r="F14" s="8" t="str">
        <x:v>按顺序核对：
1."戴着印有F标志的白色网球帽"
2."琥珀色大眼"
3."身穿蓝白相间的青春学园网球正选队服"
4."手持红色网球拍"
四要素必须全齐、位置正确；少画一项或画错样式（如护额变发带、疤痕换边）→ 直接判错。
核心考点：遮挡物（帽檐）在额头投射阴影的光影逻辑一致性，持握网球拍的手部骨骼精准计算。
任一红线触发 → 判错。</x:v>
      </x:c>
      <x:c r="G14" s="8" t="str"/>
    </x:row>
    <x:row r="15" ht="88" customHeight="1">
      <x:c r="A15" s="14" t="n">
        <x:v>14</x:v>
      </x:c>
      <x:c r="B15" s="12" t="str">
        <x:v>Tier 1</x:v>
      </x:c>
      <x:c r="C15" s="8" t="str">
        <x:v>坂田银时(Gintoki Sakata)</x:v>
      </x:c>
      <x:c r="D15" s="8" t="str">
        <x:v>银魂</x:v>
      </x:c>
      <x:c r="E15" s="8" t="str">
        <x:v>1."银色自然卷乱发"
2."死鱼眼且带有暗红色眼瞳"
3."白色底蓝色云波浪纹的和服通常只穿一半"
4."腰间别着刻有'洞爷湖'字样的木刀"</x:v>
      </x:c>
      <x:c r="F15" s="8" t="str">
        <x:v>按顺序核对：
1."银色自然卷乱发"
2."死鱼眼且带有暗红色眼瞳"
3."白色底蓝色云波浪纹的和服通常只穿一半"
4."腰间别着刻有'洞爷湖'字样的木刀"
四要素必须全齐、位置正确；少画一项或画错样式（如护额变发带、疤痕换边）→ 直接判错。
核心考点：不规则的非对称穿着方式（和服半脱状态）的物理合理性，以及木剑上细微汉字的稳定重构。
任一红线触发 → 判错。</x:v>
      </x:c>
      <x:c r="G15" s="8" t="str"/>
    </x:row>
    <x:row r="16" ht="88" customHeight="1">
      <x:c r="A16" s="14" t="n">
        <x:v>15</x:v>
      </x:c>
      <x:c r="B16" s="12" t="str">
        <x:v>Tier 1</x:v>
      </x:c>
      <x:c r="C16" s="8" t="str">
        <x:v>宇智波佐助(Sasuke Uchiha)</x:v>
      </x:c>
      <x:c r="D16" s="8" t="str">
        <x:v>火影忍者</x:v>
      </x:c>
      <x:c r="E16" s="8" t="str">
        <x:v>1."黑色刺猬头后脑勺呈横向翘起状"
2."眼瞳呈现红底黑色的写轮眼(带有勾玉)"
3."身穿背后有红白团扇标志的深色高领衣"
4."冷峻面瘫表情"</x:v>
      </x:c>
      <x:c r="F16" s="8" t="str">
        <x:v>按顺序核对：
1."黑色刺猬头后脑勺呈横向翘起状"
2."眼瞳呈现红底黑色的写轮眼(带有勾玉)"
3."身穿背后有红白团扇标志的深色高领衣"
4."冷峻面瘫表情"
四要素必须全齐、位置正确；少画一项或画错样式（如护额变发带、疤痕换边）→ 直接判错。
核心考点：眼部微小而复杂的几何结构（勾玉）在低分辨率面部特征中的超高分辨率强行对齐测试。
任一红线触发 → 判错。</x:v>
      </x:c>
      <x:c r="G16" s="8" t="str"/>
    </x:row>
    <x:row r="17" ht="88" customHeight="1">
      <x:c r="A17" s="14" t="n">
        <x:v>16</x:v>
      </x:c>
      <x:c r="B17" s="12" t="str">
        <x:v>Tier 1</x:v>
      </x:c>
      <x:c r="C17" s="8" t="str">
        <x:v>黑崎一护 (IchigoKurosaki)</x:v>
      </x:c>
      <x:c r="D17" s="8" t="str">
        <x:v>死神</x:v>
      </x:c>
      <x:c r="E17" s="8" t="str">
        <x:v>1."亮橙色刺猬头短发"
2."身穿纯黑色的死霸装"
3."手持巨大的像无柄菜刀一样的斩月大刀"
4."常带有眉间紧锁的战斗表情"</x:v>
      </x:c>
      <x:c r="F17" s="8" t="str">
        <x:v>按顺序核对：
1."亮橙色刺猬头短发"
2."身穿纯黑色的死霸装"
3."手持巨大的像无柄菜刀一样的斩月大刀"
4."常带有眉间紧锁的战斗表情"
四要素必须全齐、位置正确；少画一项或画错样式（如护额变发带、疤痕换边）→ 直接判错。
核心考点：巨型武器的握持物理重心与几何关系约束，以及大面积纯黑布料环境下的服装褶皱层次划分。
任一红线触发 → 判错。</x:v>
      </x:c>
      <x:c r="G17" s="8" t="str"/>
    </x:row>
    <x:row r="18" ht="88" customHeight="1">
      <x:c r="A18" s="14" t="n">
        <x:v>17</x:v>
      </x:c>
      <x:c r="B18" s="12" t="str">
        <x:v>Tier 1</x:v>
      </x:c>
      <x:c r="C18" s="8" t="str">
        <x:v>江户川柯南(ConanEdogawa)</x:v>
      </x:c>
      <x:c r="D18" s="8" t="str">
        <x:v>名侦探柯南</x:v>
      </x:c>
      <x:c r="E18" s="8" t="str">
        <x:v>1."黑色大背头且脑后有两根翘起的极长呆毛"
2."戴着极具特征的巨大黑色方框眼镜"
3."身穿蓝色西装外套与红色领结"
4."小学生比例体型"</x:v>
      </x:c>
      <x:c r="F18" s="8" t="str">
        <x:v>按顺序核对：
1."黑色大背头且脑后有两根翘起的极长呆毛"
2."戴着极具特征的巨大黑色方框眼镜"
3."身穿蓝色西装外套与红色领结"
4."小学生比例体型"
四要素必须全齐、位置正确；少画一项或画错样式（如护额变发带、疤痕换边）→ 直接判错。
核心考点：标志性面部配饰在非写实大眼比例下的正确附着，特定发型中呆毛结构的三维空间反演。
任一红线触发 → 判错。</x:v>
      </x:c>
      <x:c r="G18" s="8" t="str"/>
    </x:row>
    <x:row r="19" ht="88" customHeight="1">
      <x:c r="A19" s="14" t="n">
        <x:v>18</x:v>
      </x:c>
      <x:c r="B19" s="12" t="str">
        <x:v>Tier 1</x:v>
      </x:c>
      <x:c r="C19" s="8" t="str">
        <x:v>绫波丽 (ReiAyanami)</x:v>
      </x:c>
      <x:c r="D19" s="8" t="str">
        <x:v>新世纪福音战士</x:v>
      </x:c>
      <x:c r="E19" s="8" t="str">
        <x:v>1."淡蓝色齐颈短发"
2."红色瞳孔"
3."身穿白色为主带有黑色及红色线条的紧身战斗服"
4."表情极其冷漠零波动"</x:v>
      </x:c>
      <x:c r="F19" s="8" t="str">
        <x:v>按顺序核对：
1."淡蓝色齐颈短发"
2."红色瞳孔"
3."身穿白色为主带有黑色及红色线条的紧身战斗服"
4."表情极其冷漠零波动"
四要素必须全齐、位置正确；少画一项或画错样式（如护额变发带、疤痕换边）→ 直接判错。
核心考点：高反光紧身衣上装饰线条沿着人体曲线的三维空间连续性，以及特定面部去情感化处理。
任一红线触发 → 判错。</x:v>
      </x:c>
      <x:c r="G19" s="8" t="str"/>
    </x:row>
    <x:row r="20" ht="88" customHeight="1">
      <x:c r="A20" s="14" t="n">
        <x:v>19</x:v>
      </x:c>
      <x:c r="B20" s="12" t="str">
        <x:v>Tier 1</x:v>
      </x:c>
      <x:c r="C20" s="8" t="str">
        <x:v>夜神月 (LightYagami)</x:v>
      </x:c>
      <x:c r="D20" s="8" t="str">
        <x:v>死亡笔记</x:v>
      </x:c>
      <x:c r="E20" s="8" t="str">
        <x:v>1."棕色层次感中短发"
2."眼神深邃且时常带有疯狂或极其隐忍的算计笑意"
3."穿着整洁的校服或浅色西装"
4."手里经常拿着一本黑色的笔记"</x:v>
      </x:c>
      <x:c r="F20" s="8" t="str">
        <x:v>按顺序核对：
1."棕色层次感中短发"
2."眼神深邃且时常带有疯狂或极其隐忍的算计笑意"
3."穿着整洁的校服或浅色西装"
4."手里经常拿着一本黑色的笔记"
四要素必须全齐、位置正确；少画一项或画错样式（如护额变发带、疤痕换边）→ 直接判错。
核心考点：面部复杂神态的极致刻画与手部持握书本动作的物理连贯性，测试高频日常元素的特征纯度。
任一红线触发 → 判错。</x:v>
      </x:c>
      <x:c r="G20" s="8" t="str"/>
    </x:row>
    <x:row r="21" ht="88" customHeight="1">
      <x:c r="A21" s="14" t="n">
        <x:v>20</x:v>
      </x:c>
      <x:c r="B21" s="12" t="str">
        <x:v>Tier 1</x:v>
      </x:c>
      <x:c r="C21" s="8" t="str">
        <x:v>鲁路修 (LelouchLamperouge)</x:v>
      </x:c>
      <x:c r="D21" s="8" t="str">
        <x:v>叛逆的鲁路修</x:v>
      </x:c>
      <x:c r="E21" s="8" t="str">
        <x:v>1."黑色碎短发"
2."左眼时常显现发红光的飞鸟状Geass符号"
3."身穿华丽的深色高领立式斗篷或阿什弗德制服"
4."身材极其瘦长且呈夹角站姿"</x:v>
      </x:c>
      <x:c r="F21" s="8" t="str">
        <x:v>按顺序核对：
1."黑色碎短发"
2."左眼时常显现发红光的飞鸟状Geass符号"
3."身穿华丽的深色高领立式斗篷或阿什弗德制服"
4."身材极其瘦长且呈夹角站姿"
四要素必须全齐、位置正确；少画一项或画错样式（如护额变发带、疤痕换边）→ 直接判错。
核心考点：单眼特殊发光符号的精准生成且绝对不污染影响另一只眼（特征强隔离屏障测试）。
任一红线触发 → 判错。</x:v>
      </x:c>
      <x:c r="G21" s="8" t="str"/>
    </x:row>
    <x:row r="22" ht="88" customHeight="1">
      <x:c r="A22" s="14" t="n">
        <x:v>21</x:v>
      </x:c>
      <x:c r="B22" s="12" t="str">
        <x:v>Tier 1</x:v>
      </x:c>
      <x:c r="C22" s="8" t="str">
        <x:v>阿尔托莉雅(Saber)</x:v>
      </x:c>
      <x:c r="D22" s="8" t="str">
        <x:v>Fate系列</x:v>
      </x:c>
      <x:c r="E22" s="8" t="str">
        <x:v>1."金色盘发且脑后有明显发髻"
2."头顶有一根显眼的呆毛"
3."身穿蓝白相间的洋装与银色重型铠甲"
4."手中做出握持隐形剑的姿势或手持金色圣剑"</x:v>
      </x:c>
      <x:c r="F22" s="8" t="str">
        <x:v>按顺序核对：
1."金色盘发且脑后有明显发髻"
2."头顶有一根显眼的呆毛"
3."身穿蓝白相间的洋装与银色重型铠甲"
4."手中做出握持隐形剑的姿势或手持金色圣剑"
四要素必须全齐、位置正确；少画一项或画错样式（如护额变发带、疤痕换边）→ 直接判错。
核心考点：重金属铠甲的反光材质与柔软布料洋装的材质对比，以及隐形武器手势姿态的正确定向。
任一红线触发 → 判错。</x:v>
      </x:c>
      <x:c r="G22" s="8" t="str"/>
    </x:row>
    <x:row r="23" ht="88" customHeight="1">
      <x:c r="A23" s="14" t="n">
        <x:v>22</x:v>
      </x:c>
      <x:c r="B23" s="12" t="str">
        <x:v>Tier 1</x:v>
      </x:c>
      <x:c r="C23" s="8" t="str">
        <x:v>初音未来(Hatsune Miku)</x:v>
      </x:c>
      <x:c r="D23" s="8" t="str">
        <x:v>VOCALOID</x:v>
      </x:c>
      <x:c r="E23" s="8" t="str">
        <x:v>1."极其修长的葱绿色双马尾"
2."带有几何形状的发饰绑带"
3."身穿具有未来感的无袖上衣与百褶裙"
4."手臂套有带有控制面板的黑色长袖套"</x:v>
      </x:c>
      <x:c r="F23" s="8" t="str">
        <x:v>按顺序核对：
1."极其修长的葱绿色双马尾"
2."带有几何形状的发饰绑带"
3."身穿具有未来感的无袖上衣与百褶裙"
4."手臂套有带有控制面板的黑色长袖套"
四要素必须全齐、位置正确；少画一项或画错样式（如护额变发带、疤痕换边）→ 直接判错。
核心考点：超长毛发在重力作用下的物理飘动状态解算，以及袖套上电子控制面板的微机械纹理生成。
任一红线触发 → 判错。</x:v>
      </x:c>
      <x:c r="G23" s="8" t="str"/>
    </x:row>
    <x:row r="24" ht="88" customHeight="1">
      <x:c r="A24" s="14" t="n">
        <x:v>23</x:v>
      </x:c>
      <x:c r="B24" s="12" t="str">
        <x:v>Tier 1</x:v>
      </x:c>
      <x:c r="C24" s="8" t="str">
        <x:v>空条承太郎(Jotaro Kujo)</x:v>
      </x:c>
      <x:c r="D24" s="8" t="str">
        <x:v>JOJO的奇妙冒险</x:v>
      </x:c>
      <x:c r="E24" s="8" t="str">
        <x:v>1."帽子后方与黑色头发完全融为一体"
2."身穿长款深色立领学生制服，领口带有金链"
3."身形极其魁梧且肌肉极其夸张"
4."面部线条极其硬朗且有浓厚荒木线阴影"</x:v>
      </x:c>
      <x:c r="F24" s="8" t="str">
        <x:v>按顺序核对：
1."帽子后方与黑色头发完全融为一体"
2."身穿长款深色立领学生制服，领口带有金链"
3."身形极其魁梧且肌肉极其夸张"
4."面部线条极其硬朗且有浓厚荒木线阴影"
四要素必须全齐、位置正确；少画一项或画错样式（如护额变发带、疤痕换边）→ 直接判错。
核心考点：特定画风的强特征保留，尤其是帽子与头发物理上无缝连接这种反现实概念的忠实解构。
任一红线触发 → 判错。</x:v>
      </x:c>
      <x:c r="G24" s="8" t="str"/>
    </x:row>
    <x:row r="25" ht="88" customHeight="1">
      <x:c r="A25" s="14" t="n">
        <x:v>24</x:v>
      </x:c>
      <x:c r="B25" s="12" t="str">
        <x:v>Tier 1</x:v>
      </x:c>
      <x:c r="C25" s="8" t="str">
        <x:v>哆啦A梦(Doraemon)</x:v>
      </x:c>
      <x:c r="D25" s="8" t="str">
        <x:v>哆啦A梦</x:v>
      </x:c>
      <x:c r="E25" s="8" t="str">
        <x:v>1."蓝色圆滚滚的无耳机器猫身体"
2."脸部和腹部为白色"
3."脖子系着红丝带和金色铃铛"
4."腹部有一个白色的半圆形四次元口袋"</x:v>
      </x:c>
      <x:c r="F25" s="8" t="str">
        <x:v>按顺序核对：
1."蓝色圆滚滚的无耳机器猫身体"
2."脸部和腹部为白色"
3."脖子系着红丝带和金色铃铛"
4."腹部有一个白色的半圆形四次元口袋"
四要素必须全齐、位置正确；少画一项或画错样式（如护额变发带、疤痕换边）→ 直接判错。
核心考点：纯几何球体堆叠造型的无扭曲生成，特定色彩区域的封闭式分布，防止出现人类皮肤纹理。
任一红线触发 → 判错。</x:v>
      </x:c>
      <x:c r="G25" s="8" t="str"/>
    </x:row>
    <x:row r="26" ht="88" customHeight="1">
      <x:c r="A26" s="14" t="n">
        <x:v>25</x:v>
      </x:c>
      <x:c r="B26" s="12" t="str">
        <x:v>Tier 1</x:v>
      </x:c>
      <x:c r="C26" s="8" t="str">
        <x:v>皮卡丘 (Pikachu)</x:v>
      </x:c>
      <x:c r="D26" s="8" t="str">
        <x:v>宝可梦</x:v>
      </x:c>
      <x:c r="E26" s="8" t="str">
        <x:v>1."全身亮黄色"
2."长耳朵且尖端有黑色部分"
3."脸颊两侧有红色圆形的电气袋"
4."尾巴呈折线闪电状"</x:v>
      </x:c>
      <x:c r="F26" s="8" t="str">
        <x:v>按顺序核对：
1."全身亮黄色"
2."长耳朵且尖端有黑色部分"
3."脸颊两侧有红色圆形的电气袋"
4."尾巴呈折线闪电状"
四要素必须全齐、位置正确；少画一项或画错样式（如护额变发带、疤痕换边）→ 直接判错。
核心考点：非人类虚构生物的物种级别轮廓结构稳定性，闪电状尾巴几何边角的锐利度保持。
任一红线触发 → 判错。</x:v>
      </x:c>
      <x:c r="G26" s="8" t="str"/>
    </x:row>
    <x:row r="27" ht="88" customHeight="1">
      <x:c r="A27" s="14" t="n">
        <x:v>26</x:v>
      </x:c>
      <x:c r="B27" s="12" t="str">
        <x:v>Tier 1</x:v>
      </x:c>
      <x:c r="C27" s="8" t="str">
        <x:v>星野爱 (AiHoshino)</x:v>
      </x:c>
      <x:c r="D27" s="8" t="str">
        <x:v>我推的孩子</x:v>
      </x:c>
      <x:c r="E27" s="8" t="str">
        <x:v>1."紫红色长发带有一侧带有兔子样式的星星发夹"
2."双眼瞳孔中各有一颗极其明亮的发光六芒星"
3."身穿华丽亮眼的粉色打歌服"
4."笑容极其璀璨"</x:v>
      </x:c>
      <x:c r="F27" s="8" t="str">
        <x:v>按顺序核对：
1."紫红色长发带有一侧带有兔子样式的星星发夹"
2."双眼瞳孔中各有一颗极其明亮的发光六芒星"
3."身穿华丽亮眼的粉色打歌服"
4."笑容极其璀璨"
四要素必须全齐、位置正确；少画一项或画错样式（如护额变发带、疤痕换边）→ 直接判错。
核心考点：瞳孔内极其复杂的几何体（六芒星）的对称性生成与自发光特效，高饱和度舞台光影处理。
任一红线触发 → 判错。</x:v>
      </x:c>
      <x:c r="G27" s="8" t="str"/>
    </x:row>
    <x:row r="28" ht="88" customHeight="1">
      <x:c r="A28" s="14" t="n">
        <x:v>27</x:v>
      </x:c>
      <x:c r="B28" s="12" t="str">
        <x:v>Tier 1</x:v>
      </x:c>
      <x:c r="C28" s="8" t="str">
        <x:v>艾伦·耶格尔(Eren Yeager)</x:v>
      </x:c>
      <x:c r="D28" s="8" t="str">
        <x:v>进击的巨人</x:v>
      </x:c>
      <x:c r="E28" s="8" t="str">
        <x:v>1."中长款散乱棕色头发"
2."绿色眼瞳中透露愤怒"
3."身穿破旧的深色长款风衣"
4."腹部有明显的八块腹肌"</x:v>
      </x:c>
      <x:c r="F28" s="8" t="str">
        <x:v>按顺序核对：
1."中长款散乱棕色头发"
2."绿色眼瞳中透露愤怒"
3."身穿破旧的深色长款风衣"
4."腹部有明显的八块腹肌"
四要素必须全齐、位置正确；少画一项或画错样式（如护额变发带、疤痕换边）→ 直接判错。
核心考点：同一角色在不同生命周期形态（少年与成熟期）的过拟合区分，极度悲观绝望气质的精确捕捉。
任一红线触发 → 判错。</x:v>
      </x:c>
      <x:c r="G28" s="8" t="str"/>
    </x:row>
    <x:row r="29" ht="88" customHeight="1">
      <x:c r="A29" s="14" t="n">
        <x:v>28</x:v>
      </x:c>
      <x:c r="B29" s="12" t="str">
        <x:v>Tier 1</x:v>
      </x:c>
      <x:c r="C29" s="8" t="str">
        <x:v>纳兹 (NatsuDragneel)</x:v>
      </x:c>
      <x:c r="D29" s="8" t="str">
        <x:v>妖精的尾巴</x:v>
      </x:c>
      <x:c r="E29" s="8" t="str">
        <x:v>1."樱桃粉色刺猬头"
2."脖子上一直围着一条白色龙鳞状的围巾"
3."右臂上有红色的妖精尾巴公会纹章"
4."时常表现出手中喷发火焰的姿态"</x:v>
      </x:c>
      <x:c r="F29" s="8" t="str">
        <x:v>按顺序核对：
1."樱桃粉色刺猬头"
2."脖子上一直围着一条白色龙鳞状的围巾"
3."右臂上有红色的妖精尾巴公会纹章"
4."时常表现出手中喷发火焰的姿态"
四要素必须全齐、位置正确；少画一项或画错样式（如护额变发带、疤痕换边）→ 直接判错。
核心考点：身体指定部位纹身图案的位置精准控制，以及复杂火焰特效对周边环境颜色的光源反演干扰测试。
任一红线触发 → 判错。</x:v>
      </x:c>
      <x:c r="G29" s="8" t="str"/>
    </x:row>
    <x:row r="30" ht="88" customHeight="1">
      <x:c r="A30" s="14" t="n">
        <x:v>29</x:v>
      </x:c>
      <x:c r="B30" s="12" t="str">
        <x:v>Tier 1</x:v>
      </x:c>
      <x:c r="C30" s="8" t="str">
        <x:v>桐谷和人 (Kirito)</x:v>
      </x:c>
      <x:c r="D30" s="8" t="str">
        <x:v>刀剑神域</x:v>
      </x:c>
      <x:c r="E30" s="8" t="str">
        <x:v>1."黑色略长的碎发"
2."身穿纯黑色的长款皮质风衣"
3."背后呈X型交叉背着两把单手剑"
4."神情通常冷静专注"</x:v>
      </x:c>
      <x:c r="F30" s="8" t="str">
        <x:v>按顺序核对：
1."黑色略长的碎发"
2."身穿纯黑色的长款皮质风衣"
3."背后呈X型交叉背着两把单手剑"
4."神情通常冷静专注"
四要素必须全齐、位置正确；少画一项或画错样式（如护额变发带、疤痕换边）→ 直接判错。
核心考点：纯黑配色的环境反射层级区分（皮革与布料），武器背负方式（交叉斜跨）的复杂三维遮挡关系。
任一红线触发 → 判错。</x:v>
      </x:c>
      <x:c r="G30" s="8" t="str"/>
    </x:row>
    <x:row r="31" ht="88" customHeight="1">
      <x:c r="A31" s="14" t="n">
        <x:v>30</x:v>
      </x:c>
      <x:c r="B31" s="12" t="str">
        <x:v>Tier 1</x:v>
      </x:c>
      <x:c r="C31" s="8" t="str">
        <x:v>御坂美琴(Mikoto Misaka)</x:v>
      </x:c>
      <x:c r="D31" s="8" t="str">
        <x:v>魔法禁书目录</x:v>
      </x:c>
      <x:c r="E31" s="8" t="str">
        <x:v>1."茶色齐肩短发带有一点内扣波浪"
2."发际边夹着几枚简单的银色发夹"
3."身穿常盘台中学制服（米色毛衣背心加短裙）"
4."周围常带有蓝色电弧特效"</x:v>
      </x:c>
      <x:c r="F31" s="8" t="str">
        <x:v>按顺序核对：
1."茶色齐肩短发带有一点内扣波浪"
2."发际边夹着几枚简单的银色发夹"
3."身穿常盘台中学制服（米色毛衣背心加短裙）"
4."周围常带有蓝色电弧特效"
四要素必须全齐、位置正确；少画一项或画错样式（如护额变发带、疤痕换边）→ 直接判错。
核心考点：能量特效（放射状电弧）与人物实体轮廓的自然叠加，防止闪电扭曲肢体边缘的物理结构。
任一红线触发 → 判错。</x:v>
      </x:c>
      <x:c r="G31" s="8" t="str"/>
    </x:row>
    <x:row r="32" ht="88" customHeight="1">
      <x:c r="A32" s="14" t="n">
        <x:v>31</x:v>
      </x:c>
      <x:c r="B32" s="12" t="str">
        <x:v>Tier 1</x:v>
      </x:c>
      <x:c r="C32" s="8" t="str">
        <x:v>虎杖悠仁 (YujiItadori)</x:v>
      </x:c>
      <x:c r="D32" s="8" t="str">
        <x:v>咒术回战</x:v>
      </x:c>
      <x:c r="E32" s="8" t="str">
        <x:v>1."粉黑色相间向后竖起的短发"
2."眼睛下方有两道细小的横向闭合切痕"
3."身穿有红色兜帽且领口极高的黑色咒术高专制服"
4."运动能力极强且肌肉紧实"</x:v>
      </x:c>
      <x:c r="F32" s="8" t="str">
        <x:v>按顺序核对：
1."粉黑色相间向后竖起的短发"
2."眼睛下方有两道细小的横向闭合切痕"
3."身穿有红色兜帽且领口极高的黑色咒术高专制服"
4."运动能力极强且肌肉紧实"
四要素必须全齐、位置正确；少画一项或画错样式（如护额变发带、疤痕换边）→ 直接判错。
核心考点：衣服复杂叠加层（西服领口内露出的红色卫衣兜帽）的拓扑空间关系，多色彩头发的根部过渡。
任一红线触发 → 判错。</x:v>
      </x:c>
      <x:c r="G32" s="8" t="str"/>
    </x:row>
    <x:row r="33" ht="88" customHeight="1">
      <x:c r="A33" s="14" t="n">
        <x:v>32</x:v>
      </x:c>
      <x:c r="B33" s="12" t="str">
        <x:v>Tier 1</x:v>
      </x:c>
      <x:c r="C33" s="8" t="str">
        <x:v>伏黑惠 (MegumiFushiguro)</x:v>
      </x:c>
      <x:c r="D33" s="8" t="str">
        <x:v>咒术回战</x:v>
      </x:c>
      <x:c r="E33" s="8" t="str">
        <x:v>1."黑色尖锐杂乱的刺猬头"
2."深蓝紫色眼瞳"
3."身穿黑色立领咒术高专制服"
4."双手常交叉结印"</x:v>
      </x:c>
      <x:c r="F33" s="8" t="str">
        <x:v>按顺序核对：
1."黑色尖锐杂乱的刺猬头"
2."深蓝紫色眼瞳"
3."身穿黑色立领咒术高专制服"
4."双手常交叉结印"
四要素必须全齐、位置正确；少画一项或画错样式（如护额变发带、疤痕换边）→ 直接判错。
核心考点：高复杂双手互相缠绕动作（结印）的手指骨骼防崩坏测试，以及反直觉的极端刺猬发型的立体投影。
任一红线触发 → 判错。</x:v>
      </x:c>
      <x:c r="G33" s="8" t="str"/>
    </x:row>
    <x:row r="34" ht="88" customHeight="1">
      <x:c r="A34" s="14" t="n">
        <x:v>33</x:v>
      </x:c>
      <x:c r="B34" s="12" t="str">
        <x:v>Tier 1</x:v>
      </x:c>
      <x:c r="C34" s="8" t="str">
        <x:v>绿谷出久 (IzukuMidoriya)</x:v>
      </x:c>
      <x:c r="D34" s="8" t="str">
        <x:v>我的英雄学院</x:v>
      </x:c>
      <x:c r="E34" s="8" t="str">
        <x:v>1."墨绿色蓬松卷发"
2."脸颊带有对称雀斑"
3."深绿色战斗服"
4."腿部有黑色金属护甲"</x:v>
      </x:c>
      <x:c r="F34" s="8" t="str">
        <x:v>按顺序核对：
1."墨绿色蓬松卷发"
2."脸颊带有对称雀斑"
3."深绿色战斗服"
4."腿部有黑色金属护甲"
四要素必须全齐、位置正确；少画一项或画错样式（如护额变发带、疤痕换边）→ 直接判错。
核心考点：发色向皮肤溢出效应的防护，面部瑕疵（雀斑）与特定色彩的特征隔离，金属护甲的服帖度。
任一红线触发 → 判错。</x:v>
      </x:c>
      <x:c r="G34" s="8" t="str"/>
    </x:row>
    <x:row r="35" ht="88" customHeight="1">
      <x:c r="A35" s="14" t="n">
        <x:v>34</x:v>
      </x:c>
      <x:c r="B35" s="12" t="str">
        <x:v>Tier 1</x:v>
      </x:c>
      <x:c r="C35" s="8" t="str">
        <x:v>爆豪胜己(Katsuki Bakugo)</x:v>
      </x:c>
      <x:c r="D35" s="8" t="str">
        <x:v>我的英雄学院</x:v>
      </x:c>
      <x:c r="E35" s="8" t="str">
        <x:v>1."淡金色尖锐爆炸头"
2."双臂佩戴巨大绿色手榴弹状护手"
3."带有黑色尖锐放射状眼罩面饰"
4."表情呈咆哮状态"</x:v>
      </x:c>
      <x:c r="F35" s="8" t="str">
        <x:v>按顺序核对：
1."淡金色尖锐爆炸头"
2."双臂佩戴巨大绿色手榴弹状护手"
3."带有黑色尖锐放射状眼罩面饰"
4."表情呈咆哮状态"
四要素必须全齐、位置正确；少画一项或画错样式（如护额变发带、疤痕换边）→ 直接判错。
核心考点：巨型且极度不规则躯干配件（手雷护腕）的生成而不扭曲、缩短手臂的骨架结构。
任一红线触发 → 判错。</x:v>
      </x:c>
      <x:c r="G35" s="8" t="str"/>
    </x:row>
    <x:row r="36" ht="88" customHeight="1">
      <x:c r="A36" s="14" t="n">
        <x:v>35</x:v>
      </x:c>
      <x:c r="B36" s="12" t="str">
        <x:v>Tier 1</x:v>
      </x:c>
      <x:c r="C36" s="8" t="str">
        <x:v>金木研 (KenKaneki)</x:v>
      </x:c>
      <x:c r="D36" s="8" t="str">
        <x:v>东京喰种</x:v>
      </x:c>
      <x:c r="E36" s="8" t="str">
        <x:v>1."银白色短发"
2."单眼为红色且眼白为黑色的赫眼（左眼）"
3."戴着带有拉链和牙齿图案的黑色下半脸皮革面具"
4."有时背后会伸出红色鳞赫"</x:v>
      </x:c>
      <x:c r="F36" s="8" t="str">
        <x:v>按顺序核对：
1."银白色短发"
2."单眼为红色且眼白为黑色的赫眼（左眼）"
3."戴着带有拉链和牙齿图案的黑色下半脸皮革面具"
4."有时背后会伸出红色鳞赫"
四要素必须全齐、位置正确；少画一项或画错样式（如护额变发带、疤痕换边）→ 直接判错。
核心考点：绝对单眼变异的控制（防另一只眼被同化），下半脸紧密包裹物（面具）与五官的精确贴合程度。
任一红线触发 → 判错。</x:v>
      </x:c>
      <x:c r="G36" s="8" t="str"/>
    </x:row>
    <x:row r="37" ht="88" customHeight="1">
      <x:c r="A37" s="14" t="n">
        <x:v>36</x:v>
      </x:c>
      <x:c r="B37" s="12" t="str">
        <x:v>Tier 1</x:v>
      </x:c>
      <x:c r="C37" s="8" t="str">
        <x:v>杀老师(Koro-sensei)</x:v>
      </x:c>
      <x:c r="D37" s="8" t="str">
        <x:v>暗杀教室</x:v>
      </x:c>
      <x:c r="E37" s="8" t="str">
        <x:v>1."巨大的黄色圆球形无毛头部"
2."保持巨大咧开笑脸与极小豆豆眼"
3."身穿学术长袍并戴学士帽"
4."身体下半部分有多根黄色的章鱼触须"</x:v>
      </x:c>
      <x:c r="F37" s="8" t="str">
        <x:v>按顺序核对：
1."巨大的黄色圆球形无毛头部"
2."保持巨大咧开笑脸与极小豆豆眼"
3."身穿学术长袍并戴学士帽"
4."身体下半部分有多根黄色的章鱼触须"
四要素必须全齐、位置正确；少画一项或画错样式（如护额变发带、疤痕换边）→ 直接判错。
核心考点：纯异形面部结构与软体触手物理运动机制的合理三维布局，对常规人类骨架先验的彻底抛弃。
任一红线触发 → 判错。</x:v>
      </x:c>
      <x:c r="G37" s="8" t="str"/>
    </x:row>
    <x:row r="38" ht="88" customHeight="1">
      <x:c r="A38" s="14" t="n">
        <x:v>37</x:v>
      </x:c>
      <x:c r="B38" s="12" t="str">
        <x:v>Tier 1</x:v>
      </x:c>
      <x:c r="C38" s="8" t="str">
        <x:v>影山飞雄 (TobioKageyama)</x:v>
      </x:c>
      <x:c r="D38" s="8" t="str">
        <x:v>排球少年</x:v>
      </x:c>
      <x:c r="E38" s="8" t="str">
        <x:v>1."黑色柔顺平刘海短发"
2."常穿黑色与橙色相间乌野排球服"
3."眼神凶狠专注"
4."通常手里托举着排球"</x:v>
      </x:c>
      <x:c r="F38" s="8" t="str">
        <x:v>按顺序核对：
1."黑色柔顺平刘海短发"
2."常穿黑色与橙色相间乌野排球服"
3."眼神凶狠专注"
4."通常手里托举着排球"
四要素必须全齐、位置正确；少画一项或画错样式（如护额变发带、疤痕换边）→ 直接判错。
核心考点：皮肤表面与球形几何体的高精度接触面（手掌托球）光栅化，几何纯圆在运动模糊下的非形变能力。
任一红线触发 → 判错。</x:v>
      </x:c>
      <x:c r="G38" s="8" t="str"/>
    </x:row>
    <x:row r="39" ht="88" customHeight="1">
      <x:c r="A39" s="14" t="n">
        <x:v>38</x:v>
      </x:c>
      <x:c r="B39" s="12" t="str">
        <x:v>Tier 1</x:v>
      </x:c>
      <x:c r="C39" s="8" t="str">
        <x:v>爱蜜莉雅(Emilia)</x:v>
      </x:c>
      <x:c r="D39" s="8" t="str">
        <x:v>Re:从零开始的异世界生活</x:v>
      </x:c>
      <x:c r="E39" s="8" t="str">
        <x:v>1."银色及腰长直发"
2."深紫绀色的眼瞳"
3."头顶有白色带紫点的花朵发饰"
4."带有紫色线条的白色华丽长裙"</x:v>
      </x:c>
      <x:c r="F39" s="8" t="str">
        <x:v>按顺序核对：
1."银色及腰长直发"
2."深紫绀色的眼瞳"
3."头顶有白色带紫点的花朵发饰"
4."带有紫色线条的白色华丽长裙"
四要素必须全齐、位置正确；少画一项或画错样式（如护额变发带、疤痕换边）→ 直接判错。
核心考点：银白发系极易吸收环境色的特性下，防止紫色从衣服逆向污染头发边界的色彩隔离测试。
任一红线触发 → 判错。</x:v>
      </x:c>
      <x:c r="G39" s="8" t="str"/>
    </x:row>
    <x:row r="40" ht="88" customHeight="1">
      <x:c r="A40" s="14" t="n">
        <x:v>39</x:v>
      </x:c>
      <x:c r="B40" s="12" t="str">
        <x:v>Tier 1</x:v>
      </x:c>
      <x:c r="C40" s="8" t="str">
        <x:v>蕾姆 (Rem)</x:v>
      </x:c>
      <x:c r="D40" s="8" t="str">
        <x:v>Re:从零开始的异世界生活</x:v>
      </x:c>
      <x:c r="E40" s="8" t="str">
        <x:v>1."水蓝色短发且刘海遮住右眼"
2."头戴粉色花朵与十字交叉女仆发饰"
3."黑白相间女仆装"
4."手持超长铁链连接的流星锤"</x:v>
      </x:c>
      <x:c r="F40" s="8" t="str">
        <x:v>按顺序核对：
1."水蓝色短发且刘海遮住右眼"
2."头戴粉色花朵与十字交叉女仆发饰"
3."黑白相间女仆装"
4."手持超长铁链连接的流星锤"
四要素必须全齐、位置正确；少画一项或画错样式（如护额变发带、疤痕换边）→ 直接判错。
核心考点：半侧严重遮眼设计的方向正确性（防左右颠倒），链条类极细线状武器的三维空间连贯性及透视。
任一红线触发 → 判错。</x:v>
      </x:c>
      <x:c r="G40" s="8" t="str"/>
    </x:row>
    <x:row r="41" ht="88" customHeight="1">
      <x:c r="A41" s="14" t="n">
        <x:v>40</x:v>
      </x:c>
      <x:c r="B41" s="12" t="str">
        <x:v>Tier 1</x:v>
      </x:c>
      <x:c r="C41" s="8" t="str">
        <x:v>樱岛麻衣 (MaiSakurajima)</x:v>
      </x:c>
      <x:c r="D41" s="8" t="str">
        <x:v>青春猪头少年不会梦到兔女郎学姐</x:v>
      </x:c>
      <x:c r="E41" s="8" t="str">
        <x:v>1."黑色长发带有粉色兔子发卡"
2."黑色紧身兔女郎装束"
3."穿戴黑色细密网眼吊带袜"
4."气质成熟且略带微笑"</x:v>
      </x:c>
      <x:c r="F41" s="8" t="str">
        <x:v>按顺序核对：
1."黑色长发带有粉色兔子发卡"
2."黑色紧身兔女郎装束"
3."穿戴黑色细密网眼吊带袜"
4."气质成熟且略带微笑"
四要素必须全齐、位置正确；少画一项或画错样式（如护额变发带、疤痕换边）→ 直接判错。
核心考点：兔女郎跨界元素的精准提纯，网袜材质在肢体曲面上的精密纹理生成以及半透光贴图处理。
任一红线触发 → 判错。</x:v>
      </x:c>
      <x:c r="G41" s="8" t="str"/>
    </x:row>
    <x:row r="42" ht="88" customHeight="1">
      <x:c r="A42" s="20" t="n">
        <x:v>41</x:v>
      </x:c>
      <x:c r="B42" s="18" t="str">
        <x:v>Tier 2</x:v>
      </x:c>
      <x:c r="C42" s="19" t="str">
        <x:v>油女志乃 (ShinoAburame)</x:v>
      </x:c>
      <x:c r="D42" s="19" t="str">
        <x:v>火影忍者</x:v>
      </x:c>
      <x:c r="E42" s="19" t="str">
        <x:v>1.黑色小圆墨镜
2.高领外套拉链拉满遮住下半脸
3.深色长风衣
4.细小黑色寄坏虫群围绕</x:v>
      </x:c>
      <x:c r="F42" s="19" t="str">
        <x:v>按顺序核对：
1.黑色小圆墨镜
2.高领外套拉链拉满遮住下半脸
3.深色长风衣
4.细小黑色寄坏虫群围绕
再查“混没混”：特征串位、颜色污染、左右镜像、结构穿模 → 直接判错。
核心考点：面部存在双重严重遮挡（墨镜+高领）时的空间关系，细小群聚物（飞虫）防噪点干扰。
任一红线触发 → 判错。</x:v>
      </x:c>
      <x:c r="G42" s="19" t="str">
        <x:v>已修复（依据评估目标推断，请对照原设定/原图确认后使用）</x:v>
      </x:c>
    </x:row>
    <x:row r="43" ht="88" customHeight="1">
      <x:c r="A43" s="14" t="n">
        <x:v>42</x:v>
      </x:c>
      <x:c r="B43" s="18" t="str">
        <x:v>Tier 2</x:v>
      </x:c>
      <x:c r="C43" s="8" t="str">
        <x:v>日向宁次 (NejiHyuga)</x:v>
      </x:c>
      <x:c r="D43" s="8" t="str">
        <x:v>火影忍者</x:v>
      </x:c>
      <x:c r="E43" s="8" t="str">
        <x:v>1."纯白无瞳孔的白眼"
2."棕色长发且末端绑成粗发束"
3."额头缠绕绷带"
4."米色和式宽松长袍"</x:v>
      </x:c>
      <x:c r="F43" s="8" t="str">
        <x:v>按顺序核对：
1."纯白无瞳孔的白眼"
2."棕色长发且末端绑成粗发束"
3."额头缠绕绷带"
4."米色和式宽松长袍"
再查“混没混”：特征串位、颜色污染、左右镜像、结构穿模 → 直接判错。
核心考点：纯白眼特征的防幻觉处理，避免模型自动修补黑眼珠或生成病态盲眼。
任一红线触发 → 判错。</x:v>
      </x:c>
      <x:c r="G43" s="8" t="str"/>
    </x:row>
    <x:row r="44" ht="88" customHeight="1">
      <x:c r="A44" s="14" t="n">
        <x:v>43</x:v>
      </x:c>
      <x:c r="B44" s="18" t="str">
        <x:v>Tier 2</x:v>
      </x:c>
      <x:c r="C44" s="8" t="str">
        <x:v>干柿鬼鲛(KisameHoshigaki)</x:v>
      </x:c>
      <x:c r="D44" s="8" t="str">
        <x:v>火影忍者</x:v>
      </x:c>
      <x:c r="E44" s="8" t="str">
        <x:v>1."青蓝色鲨鱼肤色"
2."眼下有鳃裂纹"
3."鲨鱼鳍状蓝发"
4."背负缠满绷带的巨大武器(鲛肌)"</x:v>
      </x:c>
      <x:c r="F44" s="8" t="str">
        <x:v>按顺序核对：
1."青蓝色鲨鱼肤色"
2."眼下有鳃裂纹"
3."鲨鱼鳍状蓝发"
4."背负缠满绷带的巨大武器(鲛肌)"
再查“混没混”：特征串位、颜色污染、左右镜像、结构穿模 → 直接判错。
核心考点：特异肤色与面部动物化器官（鳃）的无缝融合，巨型武器被遮挡的体积感。
任一红线触发 → 判错。</x:v>
      </x:c>
      <x:c r="G44" s="8" t="str"/>
    </x:row>
    <x:row r="45" ht="88" customHeight="1">
      <x:c r="A45" s="14" t="n">
        <x:v>44</x:v>
      </x:c>
      <x:c r="B45" s="18" t="str">
        <x:v>Tier 2</x:v>
      </x:c>
      <x:c r="C45" s="8" t="str">
        <x:v>迪达拉 (Deidara)</x:v>
      </x:c>
      <x:c r="D45" s="8" t="str">
        <x:v>火影忍者</x:v>
      </x:c>
      <x:c r="E45" s="8" t="str">
        <x:v>1."金色长发且左刘海遮眼"
2."双手掌心有微小嘴巴"
3."左眼佩戴微型机械瞄准器"
4."常伴随白色黏土飞鸟"</x:v>
      </x:c>
      <x:c r="F45" s="8" t="str">
        <x:v>按顺序核对：
1."金色长发且左刘海遮眼"
2."双手掌心有微小嘴巴"
3."左眼佩戴微型机械瞄准器"
4."常伴随白色黏土飞鸟"
再查“混没混”：特征串位、颜色污染、左右镜像、结构穿模 → 直接判错。
核心考点：躯干异常部位（手心）生成标准面部器官（嘴巴）的极高难度逻辑解绑。
任一红线触发 → 判错。</x:v>
      </x:c>
      <x:c r="G45" s="8" t="str"/>
    </x:row>
    <x:row r="46" ht="88" customHeight="1">
      <x:c r="A46" s="14" t="n">
        <x:v>45</x:v>
      </x:c>
      <x:c r="B46" s="18" t="str">
        <x:v>Tier 2</x:v>
      </x:c>
      <x:c r="C46" s="8" t="str">
        <x:v>乌尔奇奥拉(Ulquiorra Cifer)</x:v>
      </x:c>
      <x:c r="D46" s="8" t="str">
        <x:v>死神</x:v>
      </x:c>
      <x:c r="E46" s="8" t="str">
        <x:v>1."苍白皮肤与黑色泪痕状纹理"
2."头部左侧有带角白色骨质面具"
3."胸口有圆形虚洞"
4."白底黑边长袍"</x:v>
      </x:c>
      <x:c r="F46" s="8" t="str">
        <x:v>按顺序核对：
1."苍白皮肤与黑色泪痕状纹理"
2."头部左侧有带角白色骨质面具"
3."胸口有圆形虚洞"
4."白底黑边长袍"
再查“混没混”：特征串位、颜色污染、左右镜像、结构穿模 → 直接判错。
核心考点：躯干中空结构（虚洞）的三维理解透视，局部骨质面具的有机镶嵌。
任一红线触发 → 判错。</x:v>
      </x:c>
      <x:c r="G46" s="8" t="str"/>
    </x:row>
    <x:row r="47" ht="88" customHeight="1">
      <x:c r="A47" s="14" t="n">
        <x:v>46</x:v>
      </x:c>
      <x:c r="B47" s="18" t="str">
        <x:v>Tier 2</x:v>
      </x:c>
      <x:c r="C47" s="8" t="str">
        <x:v>碎蜂 (Soi-Fon)</x:v>
      </x:c>
      <x:c r="D47" s="8" t="str">
        <x:v>死神</x:v>
      </x:c>
      <x:c r="E47" s="8" t="str">
        <x:v>1."黑色短发带两条布裹发辫"
2."大面积露背的死霸装"
3."右手中指佩戴金色蜂刺状指套(雀蜂)"</x:v>
      </x:c>
      <x:c r="F47" s="8" t="str">
        <x:v>按顺序核对：
1."黑色短发带两条布裹发辫"
2."大面积露背的死霸装"
3."右手中指佩戴金色蜂刺状指套(雀蜂)"
再查“混没混”：特征串位、颜色污染、左右镜像、结构穿模 → 直接判错。
核心考点：特殊单指外骨骼（护甲指套）的生成防污染其他手指，非常规环状发辫几何重构。
任一红线触发 → 判错。</x:v>
      </x:c>
      <x:c r="G47" s="8" t="str"/>
    </x:row>
    <x:row r="48" ht="88" customHeight="1">
      <x:c r="A48" s="14" t="n">
        <x:v>47</x:v>
      </x:c>
      <x:c r="B48" s="18" t="str">
        <x:v>Tier 2</x:v>
      </x:c>
      <x:c r="C48" s="8" t="str">
        <x:v>涅茧利 (MayuriKurotsuchi)</x:v>
      </x:c>
      <x:c r="D48" s="8" t="str">
        <x:v>死神</x:v>
      </x:c>
      <x:c r="E48" s="8" t="str">
        <x:v>1."黑白相间骷髅面孔彩绘"
2."双耳处有巨大金色圆锥装饰"
3."夸张大领子白色羽织"
4."蓝发与黑色尖锐指甲"</x:v>
      </x:c>
      <x:c r="F48" s="8" t="str">
        <x:v>按顺序核对：
1."黑白相间骷髅面孔彩绘"
2."双耳处有巨大金色圆锥装饰"
3."夸张大领子白色羽织"
4."蓝发与黑色尖锐指甲"
再查“混没混”：特征串位、颜色污染、左右镜像、结构穿模 → 直接判错。
核心考点：极度夸张的面部彩绘几何结构防模糊，严重异化的人体听觉器官（圆锥体）的修饰。
任一红线触发 → 判错。</x:v>
      </x:c>
      <x:c r="G48" s="8" t="str"/>
    </x:row>
    <x:row r="49" ht="88" customHeight="1">
      <x:c r="A49" s="14" t="n">
        <x:v>48</x:v>
      </x:c>
      <x:c r="B49" s="18" t="str">
        <x:v>Tier 2</x:v>
      </x:c>
      <x:c r="C49" s="8" t="str">
        <x:v>狛村左阵 (SajinKomamura)</x:v>
      </x:c>
      <x:c r="D49" s="8" t="str">
        <x:v>死神</x:v>
      </x:c>
      <x:c r="E49" s="8" t="str">
        <x:v>1."拟人化巨大棕色狼头"
2."身材极其魁梧"
3."标准死神队长羽织配肩甲"
4."双手呈狼爪形态"</x:v>
      </x:c>
      <x:c r="F49" s="8" t="str">
        <x:v>按顺序核对：
1."拟人化巨大棕色狼头"
2."身材极其魁梧"
3."标准死神队长羽织配肩甲"
4."双手呈狼爪形态"
再查“混没混”：特征串位、颜色污染、左右镜像、结构穿模 → 直接判错。
核心考点：兽人（Furry）特征的完美平衡生成，防止退化为真实的野狼或普通人类。
任一红线触发 → 判错。</x:v>
      </x:c>
      <x:c r="G49" s="8" t="str"/>
    </x:row>
    <x:row r="50" ht="88" customHeight="1">
      <x:c r="A50" s="14" t="n">
        <x:v>49</x:v>
      </x:c>
      <x:c r="B50" s="18" t="str">
        <x:v>Tier 2</x:v>
      </x:c>
      <x:c r="C50" s="8" t="str">
        <x:v>七海建人 (KentoNanami)</x:v>
      </x:c>
      <x:c r="D50" s="8" t="str">
        <x:v>咒术回战</x:v>
      </x:c>
      <x:c r="E50" s="8" t="str">
        <x:v>1."金黄色三七分大背头"
2."无镜腿泳镜状护目镜"
3."浅色西装配黑斑点领带"
4."手持绷带缠绕的钝刀"</x:v>
      </x:c>
      <x:c r="F50" s="8" t="str">
        <x:v>按顺序核对：
1."金黄色三七分大背头"
2."无镜腿泳镜状护目镜"
3."浅色西装配黑斑点领带"
4."手持绷带缠绕的钝刀"
再查“混没混”：特征串位、颜色污染、左右镜像、结构穿模 → 直接判错。
核心考点：特殊无镜腿眼镜附着面部骨骼的吸附逻辑，复杂斑点领带与西装质感的解耦。
任一红线触发 → 判错。</x:v>
      </x:c>
      <x:c r="G50" s="8" t="str"/>
    </x:row>
    <x:row r="51" ht="88" customHeight="1">
      <x:c r="A51" s="14" t="n">
        <x:v>50</x:v>
      </x:c>
      <x:c r="B51" s="18" t="str">
        <x:v>Tier 2</x:v>
      </x:c>
      <x:c r="C51" s="8" t="str">
        <x:v>禅院真希 (MakiZen'in)</x:v>
      </x:c>
      <x:c r="D51" s="8" t="str">
        <x:v>咒术回战</x:v>
      </x:c>
      <x:c r="E51" s="8" t="str">
        <x:v>1."深绿色高马尾"
2."下半框方片眼镜"
3."暗色长袖高专校服裙装"
4."手持红色长柄薙刀"</x:v>
      </x:c>
      <x:c r="F51" s="8" t="str">
        <x:v>按顺序核对：
1."深绿色高马尾"
2."下半框方片眼镜"
3."暗色长袖高专校服裙装"
4."手持红色长柄薙刀"
再查“混没混”：特征串位、颜色污染、左右镜像、结构穿模 → 直接判错。
核心考点：半框眼镜透视边缘的精确对位，修长冷兵器在画面中的绝对直线控制。
任一红线触发 → 判错。</x:v>
      </x:c>
      <x:c r="G51" s="8" t="str"/>
    </x:row>
    <x:row r="52" ht="88" customHeight="1">
      <x:c r="A52" s="14" t="n">
        <x:v>51</x:v>
      </x:c>
      <x:c r="B52" s="18" t="str">
        <x:v>Tier 2</x:v>
      </x:c>
      <x:c r="C52" s="8" t="str">
        <x:v>狗卷棘 (TogeInumaki)</x:v>
      </x:c>
      <x:c r="D52" s="8" t="str">
        <x:v>咒术回战</x:v>
      </x:c>
      <x:c r="E52" s="8" t="str">
        <x:v>1."银白色柔顺短发"
2."高领校服拉满遮住下巴"
3."脸颊两侧有黑色蛇目纹章"
4."眼神微下垂"</x:v>
      </x:c>
      <x:c r="F52" s="8" t="str">
        <x:v>按顺序核对：
1."银白色柔顺短发"
2."高领校服拉满遮住下巴"
3."脸颊两侧有黑色蛇目纹章"
4."眼神微下垂"
再查“混没混”：特征串位、颜色污染、左右镜像、结构穿模 → 直接判错。
核心考点：局部微小刺青在衣物边缘的生成与遮盖计算，防止刺青印染到衣领上。
任一红线触发 → 判错。</x:v>
      </x:c>
      <x:c r="G52" s="8" t="str"/>
    </x:row>
    <x:row r="53" ht="88" customHeight="1">
      <x:c r="A53" s="14" t="n">
        <x:v>52</x:v>
      </x:c>
      <x:c r="B53" s="18" t="str">
        <x:v>Tier 2</x:v>
      </x:c>
      <x:c r="C53" s="8" t="str">
        <x:v>熊猫 (Panda)</x:v>
      </x:c>
      <x:c r="D53" s="8" t="str">
        <x:v>咒术回战</x:v>
      </x:c>
      <x:c r="E53" s="8" t="str">
        <x:v>1."直立行走的人形巨大熊猫"
2."双手戴红色拳击手套"
3."毛发下暗示出肌肉线条"
4."臂膀带有圆形袖章"</x:v>
      </x:c>
      <x:c r="F53" s="8" t="str">
        <x:v>按顺序核对：
1."直立行走的人形巨大熊猫"
2."双手戴红色拳击手套"
3."毛发下暗示出肌肉线条"
4."臂膀带有圆形袖章"
再查“混没混”：特征串位、颜色污染、左右镜像、结构穿模 → 直接判错。
核心考点：拟人化动物的高难度体态把控，必须拥有类人胸肌与站姿，避免生成真实野生熊猫。
任一红线触发 → 判错。</x:v>
      </x:c>
      <x:c r="G53" s="8" t="str"/>
    </x:row>
    <x:row r="54" ht="88" customHeight="1">
      <x:c r="A54" s="14" t="n">
        <x:v>53</x:v>
      </x:c>
      <x:c r="B54" s="18" t="str">
        <x:v>Tier 2</x:v>
      </x:c>
      <x:c r="C54" s="8" t="str">
        <x:v>胀相 (Choso)</x:v>
      </x:c>
      <x:c r="D54" s="8" t="str">
        <x:v>咒术回战</x:v>
      </x:c>
      <x:c r="E54" s="8" t="str">
        <x:v>1."黑色向外炸开双马尾状发型"
2."鼻梁横跨黑色长条血迹纹身"
3."米色系多层高领长袍"
4."空洞或充满杀意的眼神"</x:v>
      </x:c>
      <x:c r="F54" s="8" t="str">
        <x:v>按顺序核对：
1."黑色向外炸开双马尾状发型"
2."鼻梁横跨黑色长条血迹纹身"
3."米色系多层高领长袍"
4."空洞或充满杀意的眼神"
再查“混没混”：特征串位、颜色污染、左右镜像、结构穿模 → 直接判错。
核心考点：跨越面部凸起中心（鼻梁）的粗大直线涂装，在人脸三维旋转时的形变计算。
任一红线触发 → 判错。</x:v>
      </x:c>
      <x:c r="G54" s="8" t="str"/>
    </x:row>
    <x:row r="55" ht="88" customHeight="1">
      <x:c r="A55" s="14" t="n">
        <x:v>54</x:v>
      </x:c>
      <x:c r="B55" s="18" t="str">
        <x:v>Tier 2</x:v>
      </x:c>
      <x:c r="C55" s="8" t="str">
        <x:v>漏瑚 (Jogo)</x:v>
      </x:c>
      <x:c r="D55" s="8" t="str">
        <x:v>咒术回战</x:v>
      </x:c>
      <x:c r="E55" s="8" t="str">
        <x:v>1."微型火山锥形状头部"
2."面部正中单眼"
3."黑色的尖锐牙齿"
4."带有圆斑点图案的披风"</x:v>
      </x:c>
      <x:c r="F55" s="8" t="str">
        <x:v>按顺序核对：
1."微型火山锥形状头部"
2."面部正中单眼"
3."黑色的尖锐牙齿"
4."带有圆斑点图案的披风"
再查“混没混”：特征串位、颜色污染、左右镜像、结构穿模 → 直接判错。
核心考点：头部器官地质级变异（微型火山）的物理合理性，单眼生物无鼻梁结构的面孔贴图。
任一红线触发 → 判错。</x:v>
      </x:c>
      <x:c r="G55" s="8" t="str"/>
    </x:row>
    <x:row r="56" ht="88" customHeight="1">
      <x:c r="A56" s="14" t="n">
        <x:v>55</x:v>
      </x:c>
      <x:c r="B56" s="18" t="str">
        <x:v>Tier 2</x:v>
      </x:c>
      <x:c r="C56" s="8" t="str">
        <x:v>真人 (Mahito)</x:v>
      </x:c>
      <x:c r="D56" s="8" t="str">
        <x:v>咒术回战</x:v>
      </x:c>
      <x:c r="E56" s="8" t="str">
        <x:v>1."银灰长发散布细麻花辫"
2."全身布满粗大缝合线"
3."一灰一蓝异色瞳"
4."怪异扭曲的肢体动作"</x:v>
      </x:c>
      <x:c r="F56" s="8" t="str">
        <x:v>按顺序核对：
1."银灰长发散布细麻花辫"
2."全身布满粗大缝合线"
3."一灰一蓝异色瞳"
4."怪异扭曲的肢体动作"
再查“混没混”：特征串位、颜色污染、左右镜像、结构穿模 → 直接判错。
核心考点：全身不规则网状缝合纹理沿着人体肌肉走向的自然覆盖，以及异色瞳交叉混合验证。
任一红线触发 → 判错。</x:v>
      </x:c>
      <x:c r="G56" s="8" t="str"/>
    </x:row>
    <x:row r="57" ht="88" customHeight="1">
      <x:c r="A57" s="14" t="n">
        <x:v>56</x:v>
      </x:c>
      <x:c r="B57" s="18" t="str">
        <x:v>Tier 2</x:v>
      </x:c>
      <x:c r="C57" s="8" t="str">
        <x:v>东堂葵 (AoiTodo)</x:v>
      </x:c>
      <x:c r="D57" s="8" t="str">
        <x:v>咒术回战</x:v>
      </x:c>
      <x:c r="E57" s="8" t="str">
        <x:v>1."巨大肌肉猛男体型"
2."左额头有长疤痕"
3."黑色寸头脑后有小扎辫"
4."常赤膊或穿简陋背心"</x:v>
      </x:c>
      <x:c r="F57" s="8" t="str">
        <x:v>按顺序核对：
1."巨大肌肉猛男体型"
2."左额头有长疤痕"
3."黑色寸头脑后有小扎辫"
4."常赤膊或穿简陋背心"
再查“混没混”：特征串位、颜色污染、左右镜像、结构穿模 → 直接判错。
核心考点：面部伤疤的极高精度位置对齐，夸张肌肉群块的立体纹理光影解算防变异。
任一红线触发 → 判错。</x:v>
      </x:c>
      <x:c r="G57" s="8" t="str"/>
    </x:row>
    <x:row r="58" ht="88" customHeight="1">
      <x:c r="A58" s="14" t="n">
        <x:v>57</x:v>
      </x:c>
      <x:c r="B58" s="18" t="str">
        <x:v>Tier 2</x:v>
      </x:c>
      <x:c r="C58" s="8" t="str">
        <x:v>我妻善逸(ZenitsuAgatsuma)</x:v>
      </x:c>
      <x:c r="D58" s="8" t="str">
        <x:v>鬼灭之刃</x:v>
      </x:c>
      <x:c r="E58" s="8" t="str">
        <x:v>1."金黄渐变橙色齐平短发"
2."亮黄色白三角鳞片纹羽织"
3."常表现闭眼或惊恐表情"
4."手持闪电纹路日轮刀"</x:v>
      </x:c>
      <x:c r="F58" s="8" t="str">
        <x:v>按顺序核对：
1."金黄渐变橙色齐平短发"
2."亮黄色白三角鳞片纹羽织"
3."常表现闭眼或惊恐表情"
4."手持闪电纹路日轮刀"
再查“混没混”：特征串位、颜色污染、左右镜像、结构穿模 → 直接判错。
核心考点：服装密集几何排列小图案（鳞片纹）在布料褶皱处的数学连续性透视折叠。
任一红线触发 → 判错。</x:v>
      </x:c>
      <x:c r="G58" s="8" t="str"/>
    </x:row>
    <x:row r="59" ht="88" customHeight="1">
      <x:c r="A59" s="14" t="n">
        <x:v>58</x:v>
      </x:c>
      <x:c r="B59" s="18" t="str">
        <x:v>Tier 2</x:v>
      </x:c>
      <x:c r="C59" s="8" t="str">
        <x:v>嘴平伊之助(InosukeHashibira)</x:v>
      </x:c>
      <x:c r="D59" s="8" t="str">
        <x:v>鬼灭之刃</x:v>
      </x:c>
      <x:c r="E59" s="8" t="str">
        <x:v>1."头戴灰色野猪毛皮头套"
2."上半身赤裸展现肌肉"
3."手持两把不规则锯齿双刀"
4."毛皮腰带深蓝长裤"</x:v>
      </x:c>
      <x:c r="F59" s="8" t="str">
        <x:v>按顺序核对：
1."头戴灰色野猪毛皮头套"
2."上半身赤裸展现肌肉"
3."手持两把不规则锯齿双刀"
4."毛皮腰带深蓝长裤"
再查“混没混”：特征串位、颜色污染、左右镜像、结构穿模 → 直接判错。
核心考点：极端材质边界冲突（野猪头与人类身躯嵌合），锯齿状金属刀刃的高频反射。
任一红线触发 → 判错。</x:v>
      </x:c>
      <x:c r="G59" s="8" t="str"/>
    </x:row>
    <x:row r="60" ht="88" customHeight="1">
      <x:c r="A60" s="14" t="n">
        <x:v>59</x:v>
      </x:c>
      <x:c r="B60" s="18" t="str">
        <x:v>Tier 2</x:v>
      </x:c>
      <x:c r="C60" s="8" t="str">
        <x:v>炼狱杏寿郎(KyojuroRengoku)</x:v>
      </x:c>
      <x:c r="D60" s="8" t="str">
        <x:v>鬼灭之刃</x:v>
      </x:c>
      <x:c r="E60" s="8" t="str">
        <x:v>1."金色带火红渐变爆炸长发"
2."末端向上翘起的粗眉毛"
3."圆睁的金红瞳孔"
4."火焰下摆图案白色羽织"</x:v>
      </x:c>
      <x:c r="F60" s="8" t="str">
        <x:v>按顺序核对：
1."金色带火红渐变爆炸长发"
2."末端向上翘起的粗眉毛"
3."圆睁的金红瞳孔"
4."火焰下摆图案白色羽织"
再查“混没混”：特征串位、颜色污染、左右镜像、结构穿模 → 直接判错。
核心考点：多重色彩渐变特征在毛发深处的自然过渡，服饰下摆火焰图案边缘的清晰区分。
任一红线触发 → 判错。</x:v>
      </x:c>
      <x:c r="G60" s="8" t="str"/>
    </x:row>
    <x:row r="61" ht="88" customHeight="1">
      <x:c r="A61" s="14" t="n">
        <x:v>60</x:v>
      </x:c>
      <x:c r="B61" s="18" t="str">
        <x:v>Tier 2</x:v>
      </x:c>
      <x:c r="C61" s="8" t="str">
        <x:v>蝴蝶忍 (ShinobuKocho)</x:v>
      </x:c>
      <x:c r="D61" s="8" t="str">
        <x:v>鬼灭之刃</x:v>
      </x:c>
      <x:c r="E61" s="8" t="str">
        <x:v>1."黑发带紫渐变"
2."后脑巨型紫边蝴蝶发饰"
3."蝴蝶翅膀纹理浅色羽织"
4."仅刀尖有刃的特制日轮刀"</x:v>
      </x:c>
      <x:c r="F61" s="8" t="str">
        <x:v>按顺序核对：
1."黑发带紫渐变"
2."后脑巨型紫边蝴蝶发饰"
3."蝴蝶翅膀纹理浅色羽织"
4."仅刀尖有刃的特制日轮刀"
再查“混没混”：特征串位、颜色污染、左右镜像、结构穿模 → 直接判错。
核心考点：特殊细冷兵器的光栅化防断裂，大面积复杂昆虫翅膀纹理在柔软布料的重映射。
任一红线触发 → 判错。</x:v>
      </x:c>
      <x:c r="G61" s="8" t="str"/>
    </x:row>
    <x:row r="62" ht="88" customHeight="1">
      <x:c r="A62" s="14" t="n">
        <x:v>61</x:v>
      </x:c>
      <x:c r="B62" s="18" t="str">
        <x:v>Tier 2</x:v>
      </x:c>
      <x:c r="C62" s="8" t="str">
        <x:v>宇髓天元(Tengen Uzui)</x:v>
      </x:c>
      <x:c r="D62" s="8" t="str">
        <x:v>鬼灭之刃</x:v>
      </x:c>
      <x:c r="E62" s="8" t="str">
        <x:v>1."头缠镶嵌巨大宝石的白头巾"
2."左眼放射状红色花朵彩绘"
3."手持铁链连接的宽刃双刀"
4."无袖剑士服"</x:v>
      </x:c>
      <x:c r="F62" s="8" t="str">
        <x:v>按顺序核对：
1."头缠镶嵌巨大宝石的白头巾"
2."左眼放射状红色花朵彩绘"
3."手持铁链连接的宽刃双刀"
4."无袖剑士服"
再查“混没混”：特征串位、颜色污染、左右镜像、结构穿模 → 直接判错。
核心考点：面部复杂彩绘与头部多配饰（头巾+宝石链）的重叠图层处理，防层级穿插。
任一红线触发 → 判错。</x:v>
      </x:c>
      <x:c r="G62" s="8" t="str"/>
    </x:row>
    <x:row r="63" ht="88" customHeight="1">
      <x:c r="A63" s="14" t="n">
        <x:v>62</x:v>
      </x:c>
      <x:c r="B63" s="18" t="str">
        <x:v>Tier 2</x:v>
      </x:c>
      <x:c r="C63" s="8" t="str">
        <x:v>富冈义勇 (GiyuTomioka)</x:v>
      </x:c>
      <x:c r="D63" s="8" t="str">
        <x:v>鬼灭之刃</x:v>
      </x:c>
      <x:c r="E63" s="8" t="str">
        <x:v>1."黑色散乱低马尾"
2."左侧几何方块右侧纯红的半半羽织"
3."深邃深蓝瞳孔"
4."冷漠冰山面庞"</x:v>
      </x:c>
      <x:c r="F63" s="8" t="str">
        <x:v>按顺序核对：
1."黑色散乱低马尾"
2."左侧几何方块右侧纯红的半半羽织"
3."深邃深蓝瞳孔"
4."冷漠冰山面庞"
再查“混没混”：特征串位、颜色污染、左右镜像、结构穿模 → 直接判错。
核心考点：不对称服饰的独立生成限制，严格防止左右衣服图案发生相互的镜像污染。
任一红线触发 → 判错。</x:v>
      </x:c>
      <x:c r="G63" s="8" t="str"/>
    </x:row>
    <x:row r="64" ht="88" customHeight="1">
      <x:c r="A64" s="14" t="n">
        <x:v>63</x:v>
      </x:c>
      <x:c r="B64" s="18" t="str">
        <x:v>Tier 2</x:v>
      </x:c>
      <x:c r="C64" s="8" t="str">
        <x:v>时透无一郎(Muichiro Tokito)</x:v>
      </x:c>
      <x:c r="D64" s="8" t="str">
        <x:v>鬼灭之刃</x:v>
      </x:c>
      <x:c r="E64" s="8" t="str">
        <x:v>1."黑发末端突变薄荷绿"
2."薄荷绿色空洞瞳孔"
3."宽大松垮深色鬼杀队队服"
4."发呆神情"</x:v>
      </x:c>
      <x:c r="F64" s="8" t="str">
        <x:v>按顺序核对：
1."黑发末端突变薄荷绿"
2."薄荷绿色空洞瞳孔"
3."宽大松垮深色鬼杀队队服"
4."发呆神情"
再查“混没混”：特征串位、颜色污染、左右镜像、结构穿模 → 直接判错。
核心考点：极度跳跃的双色头发融合点（纯黑到薄荷绿）的边界算法平滑，情感消除测试。
任一红线触发 → 判错。</x:v>
      </x:c>
      <x:c r="G64" s="8" t="str"/>
    </x:row>
    <x:row r="65" ht="88" customHeight="1">
      <x:c r="A65" s="14" t="n">
        <x:v>64</x:v>
      </x:c>
      <x:c r="B65" s="18" t="str">
        <x:v>Tier 2</x:v>
      </x:c>
      <x:c r="C65" s="8" t="str">
        <x:v>悲鸣屿行冥(GyomeiHimejima)</x:v>
      </x:c>
      <x:c r="D65" s="8" t="str">
        <x:v>鬼灭之刃</x:v>
      </x:c>
      <x:c r="E65" s="8" t="str">
        <x:v>1."肌肉如岩石般魁梧巨汉"
2."全白盲眼且常流泪"
3."额头横贯粗犷伤疤"
4."手持锁链铁球阔斧"
5."带南无阿弥陀佛汉字羽织"</x:v>
      </x:c>
      <x:c r="F65" s="8" t="str">
        <x:v>按顺序核对：
1."肌肉如岩石般魁梧巨汉"
2."全白盲眼且常流泪"
3."额头横贯粗犷伤疤"
4."手持锁链铁球阔斧"
5."带南无阿弥陀佛汉字羽织"
再查“混没混”：特征串位、颜色污染、左右镜像、结构穿模 → 直接判错。
核心考点：汉字在高分辨率布料的精确生成，全盲无瞳孔的特殊面容控制，重兵器空间连接。
任一红线触发 → 判错。</x:v>
      </x:c>
      <x:c r="G65" s="8" t="str"/>
    </x:row>
    <x:row r="66" ht="88" customHeight="1">
      <x:c r="A66" s="14" t="n">
        <x:v>65</x:v>
      </x:c>
      <x:c r="B66" s="18" t="str">
        <x:v>Tier 2</x:v>
      </x:c>
      <x:c r="C66" s="8" t="str">
        <x:v>甘露寺蜜璃(Mitsuri Kanroji)</x:v>
      </x:c>
      <x:c r="D66" s="8" t="str">
        <x:v>鬼灭之刃</x:v>
      </x:c>
      <x:c r="E66" s="8" t="str">
        <x:v>1."樱花粉草绿渐变粗大麻花辫"
2."领口敞开定制制服"
3."双眼下方有泪痣"
4."手持如粉色丝带般柔软日轮刀"</x:v>
      </x:c>
      <x:c r="F66" s="8" t="str">
        <x:v>按顺序核对：
1."樱花粉草绿渐变粗大麻花辫"
2."领口敞开定制制服"
3."双眼下方有泪痣"
4."手持如粉色丝带般柔软日轮刀"
再查“混没混”：特征串位、颜色污染、左右镜像、结构穿模 → 直接判错。
核心考点：物理属性矛盾的武器（丝带般柔软的金属长鞭）光影追踪，双拼渐变色发质渲染。
任一红线触发 → 判错。</x:v>
      </x:c>
      <x:c r="G66" s="8" t="str"/>
    </x:row>
    <x:row r="67" ht="88" customHeight="1">
      <x:c r="A67" s="14" t="n">
        <x:v>66</x:v>
      </x:c>
      <x:c r="B67" s="18" t="str">
        <x:v>Tier 2</x:v>
      </x:c>
      <x:c r="C67" s="8" t="str">
        <x:v>鬼舞辻无惨(MuzanKibutsuji)</x:v>
      </x:c>
      <x:c r="D67" s="8" t="str">
        <x:v>鬼灭之刃</x:v>
      </x:c>
      <x:c r="E67" s="8" t="str">
        <x:v>1."苍白病态皮肤与鲜红猫科竖瞳"
2."黑色微卷复古短发"
3."黑色西服套装与白底黑带软呢帽"
4."尖锐锋利指甲"</x:v>
      </x:c>
      <x:c r="F67" s="8" t="str">
        <x:v>按顺序核对：
1."苍白病态皮肤与鲜红猫科竖瞳"
2."黑色微卷复古短发"
3."黑色西服套装与白底黑带软呢帽"
4."尖锐锋利指甲"
再查“混没混”：特征串位、颜色污染、左右镜像、结构穿模 → 直接判错。
核心考点：眼部深层次细节（竖瞳的尖锐度）的高清保持，复古正装穿搭的轮廓剪裁。
任一红线触发 → 判错。</x:v>
      </x:c>
      <x:c r="G67" s="8" t="str"/>
    </x:row>
    <x:row r="68" ht="88" customHeight="1">
      <x:c r="A68" s="14" t="n">
        <x:v>67</x:v>
      </x:c>
      <x:c r="B68" s="18" t="str">
        <x:v>Tier 2</x:v>
      </x:c>
      <x:c r="C68" s="8" t="str">
        <x:v>猗窝座 (Akaza)</x:v>
      </x:c>
      <x:c r="D68" s="8" t="str">
        <x:v>鬼灭之刃</x:v>
      </x:c>
      <x:c r="E68" s="8" t="str">
        <x:v>1."全身布满深蓝几何环状刺青"
2."亮粉红极短寸头"
3."发亮带血丝金瞳"
4."赤裸上身与白底粉流苏马甲"</x:v>
      </x:c>
      <x:c r="F68" s="8" t="str">
        <x:v>按顺序核对：
1."全身布满深蓝几何环状刺青"
2."亮粉红极短寸头"
3."发亮带血丝金瞳"
4."赤裸上身与白底粉流苏马甲"
再查“混没混”：特征串位、颜色污染、左右镜像、结构穿模 → 直接判错。
核心考点：高覆盖率全身皮肤图腾在人体肌肉拉伸状态下的三维形变矩阵计算防断裂。
任一红线触发 → 判错。</x:v>
      </x:c>
      <x:c r="G68" s="8" t="str"/>
    </x:row>
    <x:row r="69" ht="88" customHeight="1">
      <x:c r="A69" s="14" t="n">
        <x:v>68</x:v>
      </x:c>
      <x:c r="B69" s="18" t="str">
        <x:v>Tier 2</x:v>
      </x:c>
      <x:c r="C69" s="8" t="str">
        <x:v>童磨 (Doma)</x:v>
      </x:c>
      <x:c r="D69" s="8" t="str">
        <x:v>鬼灭之刃</x:v>
      </x:c>
      <x:c r="E69" s="8" t="str">
        <x:v>1."白橡色头顶带红斑长发"
2."七彩玛瑙色眼瞳"
3."带血渍复古帽子"
4."手持展开的金色铁扇"</x:v>
      </x:c>
      <x:c r="F69" s="8" t="str">
        <x:v>按顺序核对：
1."白橡色头顶带红斑长发"
2."七彩玛瑙色眼瞳"
3."带血渍复古帽子"
4."手持展开的金色铁扇"
再查“混没混”：特征串位、颜色污染、左右镜像、结构穿模 → 直接判错。
核心考点：高光七彩瞳孔多种色彩交融映射，特殊金属折扇武器展开时的扇骨透视控制。
任一红线触发 → 判错。</x:v>
      </x:c>
      <x:c r="G69" s="8" t="str"/>
    </x:row>
    <x:row r="70" ht="88" customHeight="1">
      <x:c r="A70" s="14" t="n">
        <x:v>69</x:v>
      </x:c>
      <x:c r="B70" s="18" t="str">
        <x:v>Tier 2</x:v>
      </x:c>
      <x:c r="C70" s="8" t="str">
        <x:v>乌索普 (Usopp)</x:v>
      </x:c>
      <x:c r="D70" s="8" t="str">
        <x:v>海贼王</x:v>
      </x:c>
      <x:c r="E70" s="8" t="str">
        <x:v>1."面部中央长条形圆柱状长鼻"
2."黑色爆炸卷发"
3."戴防风镜的格子头巾"
4."手持改装重型大弹弓"</x:v>
      </x:c>
      <x:c r="F70" s="8" t="str">
        <x:v>按顺序核对：
1."面部中央长条形圆柱状长鼻"
2."黑色爆炸卷发"
3."戴防风镜的格子头巾"
4."手持改装重型大弹弓"
再查“混没混”：特征串位、颜色污染、左右镜像、结构穿模 → 直接判错。
核心考点：人脸中心立体几何特征极限突破（长鼻子），防扩散模型自动修正为匹诺曹。
任一红线触发 → 判错。</x:v>
      </x:c>
      <x:c r="G70" s="8" t="str"/>
    </x:row>
    <x:row r="71" ht="88" customHeight="1">
      <x:c r="A71" s="14" t="n">
        <x:v>70</x:v>
      </x:c>
      <x:c r="B71" s="18" t="str">
        <x:v>Tier 2</x:v>
      </x:c>
      <x:c r="C71" s="8" t="str">
        <x:v>托尼托尼·乔巴(Tony Chopper)</x:v>
      </x:c>
      <x:c r="D71" s="8" t="str">
        <x:v>海贼王</x:v>
      </x:c>
      <x:c r="E71" s="8" t="str">
        <x:v>1."蓝色小鼻子的毛茸茸驯鹿"
2."带白色十字的粉色宽大礼帽"
3."蓝色医学双肩包"
4."两足直立Q版小动物形态"</x:v>
      </x:c>
      <x:c r="F71" s="8" t="str">
        <x:v>按顺序核对：
1."蓝色小鼻子的毛茸茸驯鹿"
2."带白色十字的粉色宽大礼帽"
3."蓝色医学双肩包"
4."两足直立Q版小动物形态"
再查“混没混”：特征串位、颜色污染、左右镜像、结构穿模 → 直接判错。
核心考点：拟人幼态动物与厚重布料嵌合，鹿角穿透布制帽子时的相交边缘空间逻辑防穿模。
任一红线触发 → 判错。</x:v>
      </x:c>
      <x:c r="G71" s="8" t="str"/>
    </x:row>
    <x:row r="72" ht="88" customHeight="1">
      <x:c r="A72" s="14" t="n">
        <x:v>71</x:v>
      </x:c>
      <x:c r="B72" s="18" t="str">
        <x:v>Tier 2</x:v>
      </x:c>
      <x:c r="C72" s="8" t="str">
        <x:v>妮可·罗宾 (NicoRobin)</x:v>
      </x:c>
      <x:c r="D72" s="8" t="str">
        <x:v>海贼王</x:v>
      </x:c>
      <x:c r="E72" s="8" t="str">
        <x:v>1."黑色及腰平刘海长直发"
2."高挺鼻梁与深蓝瞳孔"
3."高挑丰满体态"
4."双手交叉虚空生成多只手臂"</x:v>
      </x:c>
      <x:c r="F72" s="8" t="str">
        <x:v>按顺序核对：
1."黑色及腰平刘海长直发"
2."高挺鼻梁与深蓝瞳孔"
3."高挑丰满体态"
4."双手交叉虚空生成多只手臂"
再查“混没混”：特征串位、颜色污染、左右镜像、结构穿模 → 直接判错。
核心考点：复杂多肢体生成的特异功能模拟，防范被AI检测算法判定为底层畸形而切断。
任一红线触发 → 判错。</x:v>
      </x:c>
      <x:c r="G72" s="8" t="str"/>
    </x:row>
    <x:row r="73" ht="88" customHeight="1">
      <x:c r="A73" s="14" t="n">
        <x:v>72</x:v>
      </x:c>
      <x:c r="B73" s="18" t="str">
        <x:v>Tier 2</x:v>
      </x:c>
      <x:c r="C73" s="8" t="str">
        <x:v>弗兰奇 (Franky)</x:v>
      </x:c>
      <x:c r="D73" s="8" t="str">
        <x:v>海贼王</x:v>
      </x:c>
      <x:c r="E73" s="8" t="str">
        <x:v>1."双臂为带蓝色星星夸张金属义肢"
2."亮蓝色高耸飞机头"
3."只穿极小三角内裤"
4."下巴有阶梯状金属假体"</x:v>
      </x:c>
      <x:c r="F73" s="8" t="str">
        <x:v>按顺序核对：
1."双臂为带蓝色星星夸张金属义肢"
2."亮蓝色高耸飞机头"
3."只穿极小三角内裤"
4."下巴有阶梯状金属假体"
再查“混没混”：特征串位、颜色污染、左右镜像、结构穿模 → 直接判错。
核心考点：身体部位重度机械化改造，上身重装甲与下身暴露内裤在同画面的结构张力。
任一红线触发 → 判错。</x:v>
      </x:c>
      <x:c r="G73" s="8" t="str"/>
    </x:row>
    <x:row r="74" ht="88" customHeight="1">
      <x:c r="A74" s="14" t="n">
        <x:v>73</x:v>
      </x:c>
      <x:c r="B74" s="18" t="str">
        <x:v>Tier 2</x:v>
      </x:c>
      <x:c r="C74" s="8" t="str">
        <x:v>布鲁克 (Brook)</x:v>
      </x:c>
      <x:c r="D74" s="8" t="str">
        <x:v>海贼王</x:v>
      </x:c>
      <x:c r="E74" s="8" t="str">
        <x:v>1."无皮肉的洁白骷髅身体"
2."纯黑色爆炸头"
3."黑色绅士西装与橙色衬衫"
4."手持紫色绅士手杖"</x:v>
      </x:c>
      <x:c r="F74" s="8" t="str">
        <x:v>按顺序核对：
1."无皮肉的洁白骷髅身体"
2."纯黑色爆炸头"
3."黑色绅士西装与橙色衬衫"
4."手持紫色绅士手杖"
再查“混没混”：特征串位、颜色污染、左右镜像、结构穿模 → 直接判错。
核心考点：白骨骨架解剖学精准还原，头发直接长在头骨上的反现实生物逻辑建模。
任一红线触发 → 判错。</x:v>
      </x:c>
      <x:c r="G74" s="8" t="str"/>
    </x:row>
    <x:row r="75" ht="88" customHeight="1">
      <x:c r="A75" s="14" t="n">
        <x:v>74</x:v>
      </x:c>
      <x:c r="B75" s="18" t="str">
        <x:v>Tier 2</x:v>
      </x:c>
      <x:c r="C75" s="8" t="str">
        <x:v>甚平 (Jinbe)</x:v>
      </x:c>
      <x:c r="D75" s="8" t="str">
        <x:v>海贼王</x:v>
      </x:c>
      <x:c r="E75" s="8" t="str">
        <x:v>1."青蓝色鲸鲨鱼人体态"
2."金黄色闪电状眉毛鬓角"
3."日式大领浴衣与厚木屐"
4."下巴突出的粗大獠牙"</x:v>
      </x:c>
      <x:c r="F75" s="8" t="str">
        <x:v>按顺序核对：
1."青蓝色鲸鲨鱼人体态"
2."金黄色闪电状眉毛鬓角"
3."日式大领浴衣与厚木屐"
4."下巴突出的粗大獠牙"
再查“混没混”：特征串位、颜色污染、左右镜像、结构穿模 → 直接判错。
核心考点：海洋鱼类特征与人类身躯的浑然结合，面部特殊几何须发及下颌獠牙的透视。
任一红线触发 → 判错。</x:v>
      </x:c>
      <x:c r="G75" s="8" t="str"/>
    </x:row>
    <x:row r="76" ht="88" customHeight="1">
      <x:c r="A76" s="14" t="n">
        <x:v>75</x:v>
      </x:c>
      <x:c r="B76" s="18" t="str">
        <x:v>Tier 2</x:v>
      </x:c>
      <x:c r="C76" s="8" t="str">
        <x:v>特拉法尔加·罗(Trafalgar Law)</x:v>
      </x:c>
      <x:c r="D76" s="8" t="str">
        <x:v>海贼王</x:v>
      </x:c>
      <x:c r="E76" s="8" t="str">
        <x:v>1.[""黄色斑点毛绒帽（帽檐白毛边，正面黑色笑脸图案）""
2.""下颚与上唇细长胡须""
3.""双臂及手背黑色图腾纹身""
4.""腰悬长刀“鬼哭”""]</x:v>
      </x:c>
      <x:c r="F76" s="8" t="str">
        <x:v>按顺序核对：
1.[""黄色斑点毛绒帽（帽檐白毛边，正面黑色笑脸图案）""
2.""下颚与上唇细长胡须""
3.""双臂及手背黑色图腾纹身""
4.""腰悬长刀“鬼哭”""]
再查“混没混”：特征串位、颜色污染、左右镜像、结构穿模 → 直接判错。
核心考点：手指微小英文字母的无乱码稳定生成，超长刀身在复杂背景中的像素级防弯曲。
任一红线触发 → 判错。</x:v>
      </x:c>
      <x:c r="G76" s="8" t="str"/>
    </x:row>
    <x:row r="77" ht="88" customHeight="1">
      <x:c r="A77" s="14" t="n">
        <x:v>76</x:v>
      </x:c>
      <x:c r="B77" s="18" t="str">
        <x:v>Tier 2</x:v>
      </x:c>
      <x:c r="C77" s="8" t="str">
        <x:v>波雅·汉库克(Boa Hancock)</x:v>
      </x:c>
      <x:c r="D77" s="8" t="str">
        <x:v>海贼王</x:v>
      </x:c>
      <x:c r="E77" s="8" t="str">
        <x:v>1."黑色中分极长发"
2."金色蛇形大耳环"
3."深红色高开叉紧身旗袍"
4."极度后仰鄙视姿势"</x:v>
      </x:c>
      <x:c r="F77" s="8" t="str">
        <x:v>按顺序核对：
1."黑色中分极长发"
2."金色蛇形大耳环"
3."深红色高开叉紧身旗袍"
4."极度后仰鄙视姿势"
再查“混没混”：特征串位、颜色污染、左右镜像、结构穿模 → 直接判错。
核心考点：极致躯干后仰姿态的面部大透视，与复杂服装受重力拉伸的布料物理引擎解算。
任一红线触发 → 判错。</x:v>
      </x:c>
      <x:c r="G77" s="8" t="str"/>
    </x:row>
    <x:row r="78" ht="88" customHeight="1">
      <x:c r="A78" s="14" t="n">
        <x:v>77</x:v>
      </x:c>
      <x:c r="B78" s="18" t="str">
        <x:v>Tier 2</x:v>
      </x:c>
      <x:c r="C78" s="8" t="str">
        <x:v>冯·克雷 (Mr. 2Bon Clay)</x:v>
      </x:c>
      <x:c r="D78" s="8" t="str">
        <x:v>海贼王</x:v>
      </x:c>
      <x:c r="E78" s="8" t="str">
        <x:v>1."浓艳夸张人妖戏剧妆容"
2."天鹅主题芭蕾舞厚重裙装"
3."背后背着两只假天鹅头"
4."下巴呈方块状带胡茬"</x:v>
      </x:c>
      <x:c r="F78" s="8" t="str">
        <x:v>按顺序核对：
1."浓艳夸张人妖戏剧妆容"
2."天鹅主题芭蕾舞厚重裙装"
3."背后背着两只假天鹅头"
4."下巴呈方块状带胡茬"
再查“混没混”：特征串位、颜色污染、左右镜像、结构穿模 → 直接判错。
核心考点：极端反常规性别恶搞妆容防柔化，复杂背部异形附属物（天鹅颈）防混淆。
任一红线触发 → 判错。</x:v>
      </x:c>
      <x:c r="G78" s="8" t="str"/>
    </x:row>
    <x:row r="79" ht="88" customHeight="1">
      <x:c r="A79" s="14" t="n">
        <x:v>78</x:v>
      </x:c>
      <x:c r="B79" s="18" t="str">
        <x:v>Tier 2</x:v>
      </x:c>
      <x:c r="C79" s="8" t="str">
        <x:v>香克斯 (Shanks)</x:v>
      </x:c>
      <x:c r="D79" s="8" t="str">
        <x:v>海贼王</x:v>
      </x:c>
      <x:c r="E79" s="8" t="str">
        <x:v>1."暗红色中短发"
2."左眼眶有三道平行野兽爪痕"
3."左侧手臂完全缺失"
4."白衬衫披黑色长斗篷"</x:v>
      </x:c>
      <x:c r="F79" s="8" t="str">
        <x:v>按顺序核对：
1."暗红色中短发"
2."左眼眶有三道平行野兽爪痕"
3."左侧手臂完全缺失"
4."白衬衫披黑色长斗篷"
再查“混没混”：特征串位、颜色污染、左右镜像、结构穿模 → 直接判错。
核心考点：身体残缺特征（独臂空袖）的高强度保留，防模型基于先验自动补全幻觉手臂。
任一红线触发 → 判错。</x:v>
      </x:c>
      <x:c r="G79" s="8" t="str"/>
    </x:row>
    <x:row r="80" ht="88" customHeight="1">
      <x:c r="A80" s="14" t="n">
        <x:v>79</x:v>
      </x:c>
      <x:c r="B80" s="18" t="str">
        <x:v>Tier 2</x:v>
      </x:c>
      <x:c r="C80" s="8" t="str">
        <x:v>爱德华·纽盖特(Whitebeard)</x:v>
      </x:c>
      <x:c r="D80" s="8" t="str">
        <x:v>海贼王</x:v>
      </x:c>
      <x:c r="E80" s="8" t="str">
        <x:v>1."高大魁梧爆肌体型"
2."面上仅有巨大白色新月形上翘胡子"
3."戴黑色斑点海贼头巾"
4."手持巨大长柄宽刃薙刀"</x:v>
      </x:c>
      <x:c r="F80" s="8" t="str">
        <x:v>按顺序核对：
1."高大魁梧爆肌体型"
2."面上仅有巨大白色新月形上翘胡子"
3."戴黑色斑点海贼头巾"
4."手持巨大长柄宽刃薙刀"
再查“混没混”：特征串位、颜色污染、左右镜像、结构穿模 → 直接判错。
核心考点：横向巨型面部毛发（新月胡子）悬空的抗物理弯曲三维几何建模。
任一红线触发 → 判错。</x:v>
      </x:c>
      <x:c r="G80" s="8" t="str"/>
    </x:row>
    <x:row r="81" ht="88" customHeight="1">
      <x:c r="A81" s="14" t="n">
        <x:v>80</x:v>
      </x:c>
      <x:c r="B81" s="18" t="str">
        <x:v>Tier 2</x:v>
      </x:c>
      <x:c r="C81" s="8" t="str">
        <x:v>卡塔库栗(CharlotteKatakuri)</x:v>
      </x:c>
      <x:c r="D81" s="8" t="str">
        <x:v>海贼王</x:v>
      </x:c>
      <x:c r="E81" s="8" t="str">
        <x:v>1."暗酒红极短寸头"
2."下半脸被厚重尖刺毛皮围巾遮挡"
3."外露尖锐交错非人獠牙"
4."左臂胸口粉色骷髅图腾"</x:v>
      </x:c>
      <x:c r="F81" s="8" t="str">
        <x:v>按顺序核对：
1."暗酒红极短寸头"
2."下半脸被厚重尖刺毛皮围巾遮挡"
3."外露尖锐交错非人獠牙"
4."左臂胸口粉色骷髅图腾"
再查“混没混”：特征串位、颜色污染、左右镜像、结构穿模 → 直接判错。
核心考点：领口重度遮挡与面部畸变獠牙的无缝切换，大面积纯色刺青防扩散。
任一红线触发 → 判错。</x:v>
      </x:c>
      <x:c r="G81" s="8" t="str"/>
    </x:row>
    <x:row r="82" ht="88" customHeight="1">
      <x:c r="A82" s="14" t="n">
        <x:v>81</x:v>
      </x:c>
      <x:c r="B82" s="18" t="str">
        <x:v>Tier 2</x:v>
      </x:c>
      <x:c r="C82" s="8" t="str">
        <x:v>蛙吹梅雨 (TsuyuAsui)</x:v>
      </x:c>
      <x:c r="D82" s="8" t="str">
        <x:v>我的英雄学院</x:v>
      </x:c>
      <x:c r="E82" s="8" t="str">
        <x:v>1."深绿色长发末端绑成蝴蝶结状"
2."巨大手掌与长脚"
3."宽扁青蛙嘴部并吐出长舌"
4."绿色带黄条纹紧身护目装"</x:v>
      </x:c>
      <x:c r="F82" s="8" t="str">
        <x:v>按顺序核对：
1."深绿色长发末端绑成蝴蝶结状"
2."巨大手掌与长脚"
3."宽扁青蛙嘴部并吐出长舌"
4."绿色带黄条纹紧身护目装"
再查“混没混”：特征串位、颜色污染、左右镜像、结构穿模 → 直接判错。
核心考点：面孔两栖动物化与肢体比例极度夸张情况下的统合，不被判定为人体崩坏。
任一红线触发 → 判错。</x:v>
      </x:c>
      <x:c r="G82" s="8" t="str"/>
    </x:row>
    <x:row r="83" ht="88" customHeight="1">
      <x:c r="A83" s="14" t="n">
        <x:v>82</x:v>
      </x:c>
      <x:c r="B83" s="18" t="str">
        <x:v>Tier 2</x:v>
      </x:c>
      <x:c r="C83" s="8" t="str">
        <x:v>轰焦冻 (ShotoTodoroki)</x:v>
      </x:c>
      <x:c r="D83" s="8" t="str">
        <x:v>我的英雄学院</x:v>
      </x:c>
      <x:c r="E83" s="8" t="str">
        <x:v>1."头发左红右白中分"
2."左半脸有大块红色烧伤疤痕"
3."左冰蓝右暗灰异色瞳"
4."高领深蓝色金属护甲战斗服"</x:v>
      </x:c>
      <x:c r="F83" s="8" t="str">
        <x:v>按顺序核对：
1."头发左红右白中分"
2."左半脸有大块红色烧伤疤痕"
3."左冰蓝右暗灰异色瞳"
4."高领深蓝色金属护甲战斗服"
再查“混没混”：特征串位、颜色污染、左右镜像、结构穿模 → 直接判错。
核心考点：面部中轴线左右极不对称材质、发色进行绝对切分，防红色系向白色系产生污染。
任一红线触发 → 判错。</x:v>
      </x:c>
      <x:c r="G83" s="8" t="str"/>
    </x:row>
    <x:row r="84" ht="88" customHeight="1">
      <x:c r="A84" s="14" t="n">
        <x:v>83</x:v>
      </x:c>
      <x:c r="B84" s="18" t="str">
        <x:v>Tier 2</x:v>
      </x:c>
      <x:c r="C84" s="8" t="str">
        <x:v>欧尔麦特 (AllMight)</x:v>
      </x:c>
      <x:c r="D84" s="8" t="str">
        <x:v>我的英雄学院</x:v>
      </x:c>
      <x:c r="E84" s="8" t="str">
        <x:v>1."极浓重美漫肌肉阴影排线"
2."金发头顶有V字形高耸呆毛"
3."蓝红黄相间紧身战衣"
4."黑影眼眶与夸张白色笑容"</x:v>
      </x:c>
      <x:c r="F84" s="8" t="str">
        <x:v>按顺序核对：
1."极浓重美漫肌肉阴影排线"
2."金发头顶有V字形高耸呆毛"
3."蓝红黄相间紧身战衣"
4."黑影眼眶与夸张白色笑容"
再查“混没混”：特征串位、颜色污染、左右镜像、结构穿模 → 直接判错。
核心考点：美漫粗犷线条与日漫平涂色彩特征在同一潜空间的并存冲突测试。
任一红线触发 → 判错。</x:v>
      </x:c>
      <x:c r="G84" s="8" t="str"/>
    </x:row>
    <x:row r="85" ht="88" customHeight="1">
      <x:c r="A85" s="14" t="n">
        <x:v>84</x:v>
      </x:c>
      <x:c r="B85" s="18" t="str">
        <x:v>Tier 2</x:v>
      </x:c>
      <x:c r="C85" s="8" t="str">
        <x:v>死柄木吊(TomuraShigaraki)</x:v>
      </x:c>
      <x:c r="D85" s="8" t="str">
        <x:v>我的英雄学院</x:v>
      </x:c>
      <x:c r="E85" s="8" t="str">
        <x:v>1."浅灰蓝杂乱枯发"
2."全身布满苍白僵硬的人类断手抓握"
3."双眼布满血丝皮肤皲裂"
4."纯黑破旧衬衫"</x:v>
      </x:c>
      <x:c r="F85" s="8" t="str">
        <x:v>按顺序核对：
1."浅灰蓝杂乱枯发"
2."全身布满苍白僵硬的人类断手抓握"
3."双眼布满血丝皮肤皲裂"
4."纯黑破旧衬衫"
再查“混没混”：特征串位、颜色污染、左右镜像、结构穿模 → 直接判错。
核心考点：极变态解剖学挑战：附着多只独立断手且绝不触发模型手指畸形变异幻觉。
任一红线触发 → 判错。</x:v>
      </x:c>
      <x:c r="G85" s="8" t="str"/>
    </x:row>
    <x:row r="86" ht="88" customHeight="1">
      <x:c r="A86" s="14" t="n">
        <x:v>85</x:v>
      </x:c>
      <x:c r="B86" s="18" t="str">
        <x:v>Tier 2</x:v>
      </x:c>
      <x:c r="C86" s="8" t="str">
        <x:v>渡我被身子(Himiko Toga)</x:v>
      </x:c>
      <x:c r="D86" s="8" t="str">
        <x:v>我的英雄学院</x:v>
      </x:c>
      <x:c r="E86" s="8" t="str">
        <x:v>1."亮金色松散丸子头带凌乱碎发"
2."眼神疯狂带病娇红晕"
3."外露尖锐犬齿"
4."水手服外搭米色开衫毛衣，挂满导管"</x:v>
      </x:c>
      <x:c r="F86" s="8" t="str">
        <x:v>按顺序核对：
1."亮金色松散丸子头带凌乱碎发"
2."眼神疯狂带病娇红晕"
3."外露尖锐犬齿"
4."水手服外搭米色开衫毛衣，挂满导管"
再查“混没混”：特征串位、颜色污染、左右镜像、结构穿模 → 直接判错。
核心考点：半透明软质导管缠绕装备重叠的光影透射折射，与深度病态的微表情捕捉。
任一红线触发 → 判错。</x:v>
      </x:c>
      <x:c r="G86" s="8" t="str"/>
    </x:row>
    <x:row r="87" ht="88" customHeight="1">
      <x:c r="A87" s="14" t="n">
        <x:v>86</x:v>
      </x:c>
      <x:c r="B87" s="18" t="str">
        <x:v>Tier 2</x:v>
      </x:c>
      <x:c r="C87" s="8" t="str">
        <x:v>切岛锐儿郎(Eijiro Kirishima)</x:v>
      </x:c>
      <x:c r="D87" s="8" t="str">
        <x:v>我的英雄学院</x:v>
      </x:c>
      <x:c r="E87" s="8" t="str">
        <x:v>1."深红坚硬向上刺猬头"
2."右眉眼有细小疤痕"
3."锯齿交错状牙齿"
4."暴露上半身配黑色巨大齿轮肩甲"</x:v>
      </x:c>
      <x:c r="F87" s="8" t="str">
        <x:v>按顺序核对：
1."深红坚硬向上刺猬头"
2."右眉眼有细小疤痕"
3."锯齿交错状牙齿"
4."暴露上半身配黑色巨大齿轮肩甲"
再查“混没混”：特征串位、颜色污染、左右镜像、结构穿模 → 直接判错。
核心考点：尖锐几何发型多边形建模，肩部巨大异形无机物护甲与皮肉接缝的阴影处理。
任一红线触发 → 判错。</x:v>
      </x:c>
      <x:c r="G87" s="8" t="str"/>
    </x:row>
    <x:row r="88" ht="88" customHeight="1">
      <x:c r="A88" s="14" t="n">
        <x:v>87</x:v>
      </x:c>
      <x:c r="B88" s="18" t="str">
        <x:v>Tier 2</x:v>
      </x:c>
      <x:c r="C88" s="8" t="str">
        <x:v>丽日御茶子(OchacoUraraka)</x:v>
      </x:c>
      <x:c r="D88" s="8" t="str">
        <x:v>我的英雄学院</x:v>
      </x:c>
      <x:c r="E88" s="8" t="str">
        <x:v>1."茶色圆润齐耳波波头"
2."面颊带粉红圆形腮红"
3."粉黑拼色带圆筒气囊护腕宇航服"
4."厚重半圆后跟长靴"</x:v>
      </x:c>
      <x:c r="F88" s="8" t="str">
        <x:v>按顺序核对：
1."茶色圆润齐耳波波头"
2."面颊带粉红圆形腮红"
3."粉黑拼色带圆筒气囊护腕宇航服"
4."厚重半圆后跟长靴"
再查“混没混”：特征串位、颜色污染、左右镜像、结构穿模 → 直接判错。
核心考点：极度巨大突兀的几何圆柱体在修长肢体末端（手腕和脚跟）的空间附着重叠。
任一红线触发 → 判错。</x:v>
      </x:c>
      <x:c r="G88" s="8" t="str"/>
    </x:row>
    <x:row r="89" ht="88" customHeight="1">
      <x:c r="A89" s="14" t="n">
        <x:v>88</x:v>
      </x:c>
      <x:c r="B89" s="18" t="str">
        <x:v>Tier 2</x:v>
      </x:c>
      <x:c r="C89" s="8" t="str">
        <x:v>霍克斯 (Hawks)</x:v>
      </x:c>
      <x:c r="D89" s="8" t="str">
        <x:v>我的英雄学院</x:v>
      </x:c>
      <x:c r="E89" s="8" t="str">
        <x:v>1."金黄中分中短发"
2."戴厚重黄色护目镜"
3."背后有巨大鲜红色鸟类翅膀"
4."毛绒翻领土棕飞行员皮夹克"</x:v>
      </x:c>
      <x:c r="F89" s="8" t="str">
        <x:v>按顺序核对：
1."金黄中分中短发"
2."戴厚重黄色护目镜"
3."背后有巨大鲜红色鸟类翅膀"
4."毛绒翻领土棕飞行员皮夹克"
再查“混没混”：特征串位、颜色污染、左右镜像、结构穿模 → 直接判错。
核心考点：巨型羽毛翅膀与外套领口极蓬松毛绒材质的质感强对比与边缘清晰区分。
任一红线触发 → 判错。</x:v>
      </x:c>
      <x:c r="G89" s="8" t="str"/>
    </x:row>
    <x:row r="90" ht="88" customHeight="1">
      <x:c r="A90" s="14" t="n">
        <x:v>89</x:v>
      </x:c>
      <x:c r="B90" s="18" t="str">
        <x:v>Tier 2</x:v>
      </x:c>
      <x:c r="C90" s="8" t="str">
        <x:v>纳甘夫人 (LadyNagant)</x:v>
      </x:c>
      <x:c r="D90" s="8" t="str">
        <x:v>我的英雄学院</x:v>
      </x:c>
      <x:c r="E90" s="8" t="str">
        <x:v>1."紫蓝双色中长发"
2."右手臂异化为带瞄准镜重型狙击枪管"
3."黑色拉链紧身衣带金属子弹带"
4."冷峻锐利眼神"</x:v>
      </x:c>
      <x:c r="F90" s="8" t="str">
        <x:v>按顺序核对：
1."紫蓝双色中长发"
2."右手臂异化为带瞄准镜重型狙击枪管"
3."黑色拉链紧身衣带金属子弹带"
4."冷峻锐利眼神"
再查“混没混”：特征串位、颜色污染、左右镜像、结构穿模 → 直接判错。
核心考点：软体肢体直接硬质异化为复杂机械枪械（枪管嵌入骨骼肌肉）的赛博组合。
任一红线触发 → 判错。</x:v>
      </x:c>
      <x:c r="G90" s="8" t="str"/>
    </x:row>
    <x:row r="91" ht="88" customHeight="1">
      <x:c r="A91" s="14" t="n">
        <x:v>90</x:v>
      </x:c>
      <x:c r="B91" s="18" t="str">
        <x:v>Tier 2</x:v>
      </x:c>
      <x:c r="C91" s="8" t="str">
        <x:v>麦野沈利(Shizuri Mugino)</x:v>
      </x:c>
      <x:c r="D91" s="8" t="str">
        <x:v>魔法禁书目录</x:v>
      </x:c>
      <x:c r="E91" s="8" t="str">
        <x:v>1."棕色大波浪长卷发"
2."修身深紫暗色职业套装"
3."因暴怒透露狂躁的颜艺"
4."掌心射出高亮绿色光束"</x:v>
      </x:c>
      <x:c r="F91" s="8" t="str">
        <x:v>按顺序核对：
1."棕色大波浪长卷发"
2."修身深紫暗色职业套装"
3."因暴怒透露狂躁的颜艺"
4."掌心射出高亮绿色光束"
再查“混没混”：特征串位、颜色污染、左右镜像、结构穿模 → 直接判错。
核心考点：高能毁灭射线（纯绿光）与肢体动作起始点的无缝对齐（防偏移产生悬空光源）。
任一红线触发 → 判错。</x:v>
      </x:c>
      <x:c r="G91" s="8" t="str"/>
    </x:row>
    <x:row r="92" ht="88" customHeight="1">
      <x:c r="A92" s="14" t="n">
        <x:v>91</x:v>
      </x:c>
      <x:c r="B92" s="18" t="str">
        <x:v>Tier 2</x:v>
      </x:c>
      <x:c r="C92" s="8" t="str">
        <x:v>一方通行(Accelerator)</x:v>
      </x:c>
      <x:c r="D92" s="8" t="str">
        <x:v>魔法禁书目录</x:v>
      </x:c>
      <x:c r="E92" s="8" t="str">
        <x:v>1."苍白散乱极短碎发"
2."苍白病态皮肤与深红色瞳孔"
3."黑白条纹短袖紧身衬衫"
4."脖子戴有带绿灯的黑色颈圈电极"</x:v>
      </x:c>
      <x:c r="F92" s="8" t="str">
        <x:v>按顺序核对：
1."苍白散乱极短碎发"
2."苍白病态皮肤与深红色瞳孔"
3."黑白条纹短袖紧身衬衫"
4."脖子戴有带绿灯的黑色颈圈电极"
再查“混没混”：特征串位、颜色污染、左右镜像、结构穿模 → 直接判错。
核心考点：颈部微小机械装置在反光下的表现，病态美感气场的提取。
任一红线触发 → 判错。</x:v>
      </x:c>
      <x:c r="G92" s="8" t="str"/>
    </x:row>
    <x:row r="93" ht="88" customHeight="1">
      <x:c r="A93" s="14" t="n">
        <x:v>92</x:v>
      </x:c>
      <x:c r="B93" s="18" t="str">
        <x:v>Tier 2</x:v>
      </x:c>
      <x:c r="C93" s="8" t="str">
        <x:v>罗伊·马斯坦(Roy Mustang)</x:v>
      </x:c>
      <x:c r="D93" s="8" t="str">
        <x:v>钢之炼金术师</x:v>
      </x:c>
      <x:c r="E93" s="8" t="str">
        <x:v>1."纯黑色向后梳平短发"
2."深蓝色带金肩章军服"
3."戴画有红色炼金阵的白手套"
4."双手常做打响指姿态"</x:v>
      </x:c>
      <x:c r="F93" s="8" t="str">
        <x:v>按顺序核对：
1."纯黑色向后梳平短发"
2."深蓝色带金肩章军服"
3."戴画有红色炼金阵的白手套"
4."双手常做打响指姿态"
再查“混没混”：特征串位、颜色污染、左右镜像、结构穿模 → 直接判错。
核心考点：布料手套表面微小几何红圈图案防扭曲，打响指复杂手指空间遮挡骨骼透视。
任一红线触发 → 判错。</x:v>
      </x:c>
      <x:c r="G93" s="8" t="str"/>
    </x:row>
    <x:row r="94" ht="88" customHeight="1">
      <x:c r="A94" s="14" t="n">
        <x:v>93</x:v>
      </x:c>
      <x:c r="B94" s="18" t="str">
        <x:v>Tier 2</x:v>
      </x:c>
      <x:c r="C94" s="8" t="str">
        <x:v>利威尔 (LeviAckerman)</x:v>
      </x:c>
      <x:c r="D94" s="8" t="str">
        <x:v>进击的巨人</x:v>
      </x:c>
      <x:c r="E94" s="8" t="str">
        <x:v>1."黑色中分中短发"
2."死鱼眼"
3."佩戴白色领巾"
4."调查兵团浅棕色短夹克"</x:v>
      </x:c>
      <x:c r="F94" s="8" t="str">
        <x:v>按顺序核对：
1."黑色中分中短发"
2."死鱼眼"
3."佩戴白色领巾"
4."调查兵团浅棕色短夹克"
再查“混没混”：特征串位、颜色污染、左右镜像、结构穿模 → 直接判错。
核心考点：作为评估交叉控制稳定性的内部基准对照角色。
任一红线触发 → 判错。</x:v>
      </x:c>
      <x:c r="G94" s="8" t="str"/>
    </x:row>
    <x:row r="95" ht="88" customHeight="1">
      <x:c r="A95" s="14" t="n">
        <x:v>94</x:v>
      </x:c>
      <x:c r="B95" s="18" t="str">
        <x:v>Tier 2</x:v>
      </x:c>
      <x:c r="C95" s="8" t="str">
        <x:v>三笠·阿克曼(MikasaAckerman)</x:v>
      </x:c>
      <x:c r="D95" s="8" t="str">
        <x:v>进击的巨人</x:v>
      </x:c>
      <x:c r="E95" s="8" t="str">
        <x:v>1."黑色齐肩短发"
2."脖子死死围着红色长围巾"
3."浅棕短夹克与白长裤"
4."大腿缠绕复杂立体机动皮带"</x:v>
      </x:c>
      <x:c r="F95" s="8" t="str">
        <x:v>按顺序核对：
1."黑色齐肩短发"
2."脖子死死围着红色长围巾"
3."浅棕短夹克与白长裤"
4."大腿缠绕复杂立体机动皮带"
再查“混没混”：特征串位、颜色污染、左右镜像、结构穿模 → 直接判错。
核心考点：密集交叉皮革绑带网对角色下半身空间划分的极强几何逻辑与深度阴影测试。
任一红线触发 → 判错。</x:v>
      </x:c>
      <x:c r="G95" s="8" t="str"/>
    </x:row>
    <x:row r="96" ht="88" customHeight="1">
      <x:c r="A96" s="14" t="n">
        <x:v>95</x:v>
      </x:c>
      <x:c r="B96" s="18" t="str">
        <x:v>Tier 2</x:v>
      </x:c>
      <x:c r="C96" s="8" t="str">
        <x:v>韩吉·佐耶(Hange Zoe)</x:v>
      </x:c>
      <x:c r="D96" s="8" t="str">
        <x:v>进击的巨人</x:v>
      </x:c>
      <x:c r="E96" s="8" t="str">
        <x:v>1."棕色杂乱高马尾"
2."戴皮质绑带老式护目镜(后期带单眼罩)"
3."暗绿色带帽斗篷"
4."探究与疯狂气场"</x:v>
      </x:c>
      <x:c r="F96" s="8" t="str">
        <x:v>按顺序核对：
1."棕色杂乱高马尾"
2."戴皮质绑带老式护目镜(后期带单眼罩)"
3."暗绿色带帽斗篷"
4."探究与疯狂气场"
再查“混没混”：特征串位、颜色污染、左右镜像、结构穿模 → 直接判错。
核心考点：眼部复杂多重附属物叠加实验：护目镜与单眼眼罩在脸颊产生的不规则深度叠加。
任一红线触发 → 判错。</x:v>
      </x:c>
      <x:c r="G96" s="8" t="str"/>
    </x:row>
    <x:row r="97" ht="88" customHeight="1">
      <x:c r="A97" s="14" t="n">
        <x:v>96</x:v>
      </x:c>
      <x:c r="B97" s="18" t="str">
        <x:v>Tier 2</x:v>
      </x:c>
      <x:c r="C97" s="8" t="str">
        <x:v>太宰治 (OsamuDazai)</x:v>
      </x:c>
      <x:c r="D97" s="8" t="str">
        <x:v>文豪野犬</x:v>
      </x:c>
      <x:c r="E97" s="8" t="str">
        <x:v>1."深棕微卷中短发"
2."脖子及双臂缠满白色医疗绷带"
3."沙色长款风衣配黑马甲"
4."深沉虚无笑容"</x:v>
      </x:c>
      <x:c r="F97" s="8" t="str">
        <x:v>按顺序核对：
1."深棕微卷中短发"
2."脖子及双臂缠满白色医疗绷带"
3."沙色长款风衣配黑马甲"
4."深沉虚无笑容"
再查“混没混”：特征串位、颜色污染、左右镜像、结构穿模 → 直接判错。
核心考点：白色绷带在皮肤上的几何缠绕推演，防其退化变为白衬衫长袖布料。
任一红线触发 → 判错。</x:v>
      </x:c>
      <x:c r="G97" s="8" t="str"/>
    </x:row>
    <x:row r="98" ht="88" customHeight="1">
      <x:c r="A98" s="14" t="n">
        <x:v>97</x:v>
      </x:c>
      <x:c r="B98" s="18" t="str">
        <x:v>Tier 2</x:v>
      </x:c>
      <x:c r="C98" s="8" t="str">
        <x:v>中原中也 (ChuyaNakahara)</x:v>
      </x:c>
      <x:c r="D98" s="8" t="str">
        <x:v>文豪野犬</x:v>
      </x:c>
      <x:c r="E98" s="8" t="str">
        <x:v>1."赭色中长发垂下一缕微卷长发"
2."斜戴带红丝带的黑色软呢礼帽"
3."黑机车皮夹克外披纯黑大披风"
4."带黑色皮质项圈"</x:v>
      </x:c>
      <x:c r="F98" s="8" t="str">
        <x:v>按顺序核对：
1."赭色中长发垂下一缕微卷长发"
2."斜戴带红丝带的黑色软呢礼帽"
3."黑机车皮夹克外披纯黑大披风"
4."带黑色皮质项圈"
再查“混没混”：特征串位、颜色污染、左右镜像、结构穿模 → 直接判错。
核心考点：头部斜戴帽子重心与肩部大披风的绝对隔离，极端防黑色披风异化为黑色翅膀。
任一红线触发 → 判错。</x:v>
      </x:c>
      <x:c r="G98" s="8" t="str"/>
    </x:row>
    <x:row r="99" ht="88" customHeight="1">
      <x:c r="A99" s="14" t="n">
        <x:v>98</x:v>
      </x:c>
      <x:c r="B99" s="18" t="str">
        <x:v>Tier 2</x:v>
      </x:c>
      <x:c r="C99" s="8" t="str">
        <x:v>芥川龙之介(RyunosukeAkutagawa)</x:v>
      </x:c>
      <x:c r="D99" s="8" t="str">
        <x:v>文豪野犬</x:v>
      </x:c>
      <x:c r="E99" s="8" t="str">
        <x:v>1."黑色平刘海短发且发尾渐变白"
2."无眉毛且眼神空洞病态"
3."复古带白荷叶边领口黑长外套"
4."下摆异化为黑红锯齿多头异兽"</x:v>
      </x:c>
      <x:c r="F99" s="8" t="str">
        <x:v>按顺序核对：
1."黑色平刘海短发且发尾渐变白"
2."无眉毛且眼神空洞病态"
3."复古带白荷叶边领口黑长外套"
4."下摆异化为黑红锯齿多头异兽"
再查“混没混”：特征串位、颜色污染、左右镜像、结构穿模 → 直接判错。
核心考点：材质物理变异难题：黑色布料大衣外套极其自然扭曲幻化成异兽（罗生门）。
任一红线触发 → 判错。</x:v>
      </x:c>
      <x:c r="G99" s="8" t="str"/>
    </x:row>
    <x:row r="100" ht="88" customHeight="1">
      <x:c r="A100" s="14" t="n">
        <x:v>99</x:v>
      </x:c>
      <x:c r="B100" s="18" t="str">
        <x:v>Tier 2</x:v>
      </x:c>
      <x:c r="C100" s="8" t="str">
        <x:v>梅路艾姆(Meruem)</x:v>
      </x:c>
      <x:c r="D100" s="8" t="str">
        <x:v>全职猎人</x:v>
      </x:c>
      <x:c r="E100" s="8" t="str">
        <x:v>1."头部戴类似绿色坚硬头盔护甲带触角"
2."绿深绿相间昆虫甲壳外骨骼"
3."带锋利倒刺粗大长尾巴"
4."深紫冷酷眼瞳"</x:v>
      </x:c>
      <x:c r="F100" s="8" t="str">
        <x:v>按顺序核对：
1."头部戴类似绿色坚硬头盔护甲带触角"
2."绿深绿相间昆虫甲壳外骨骼"
3."带锋利倒刺粗大长尾巴"
4."深紫冷酷眼瞳"
再查“混没混”：特征串位、颜色污染、左右镜像、结构穿模 → 直接判错。
核心考点：挑战人体先验的异形昆虫躯干复杂骨骼交织，以及破坏重心的粗大长尾巴光栅化。
任一红线触发 → 判错。</x:v>
      </x:c>
      <x:c r="G100" s="8" t="str"/>
    </x:row>
    <x:row r="101" ht="88" customHeight="1">
      <x:c r="A101" s="14" t="n">
        <x:v>100</x:v>
      </x:c>
      <x:c r="B101" s="18" t="str">
        <x:v>Tier 2</x:v>
      </x:c>
      <x:c r="C101" s="8" t="str">
        <x:v>尼飞彼多(Neferpitou)</x:v>
      </x:c>
      <x:c r="D101" s="8" t="str">
        <x:v>全职猎人</x:v>
      </x:c>
      <x:c r="E101" s="8" t="str">
        <x:v>1."纯白色波浪状中短发"
2."纯白猫耳与灵活猫尾巴"
3."如红宝石的巨大红瞳"
4."深蓝高领制服与球形关节膝盖"</x:v>
      </x:c>
      <x:c r="F101" s="8" t="str">
        <x:v>按顺序核对：
1."纯白色波浪状中短发"
2."纯白猫耳与灵活猫尾巴"
3."如红宝石的巨大红瞳"
4."深蓝高领制服与球形关节膝盖"
再查“混没混”：特征串位、颜色污染、左右镜像、结构穿模 → 直接判错。
核心考点：动物特征（猫娘）结合血腥反差，双膝部位特殊无机物球形关节的骨骼折点绘制。
任一红线触发 → 判错。</x:v>
      </x:c>
      <x:c r="G101" s="8" t="str"/>
    </x:row>
    <x:row r="102" ht="88" customHeight="1">
      <x:c r="A102" s="14" t="n">
        <x:v>101</x:v>
      </x:c>
      <x:c r="B102" s="18" t="str">
        <x:v>Tier 2</x:v>
      </x:c>
      <x:c r="C102" s="8" t="str">
        <x:v>西索 (HisokaMorow)</x:v>
      </x:c>
      <x:c r="D102" s="8" t="str">
        <x:v>全职猎人</x:v>
      </x:c>
      <x:c r="E102" s="8" t="str">
        <x:v>1."紫红色倒竖尖锐短发"
2."左脸深色五角星右脸浅色水滴彩绘"
3."狭长邪异眼眸"
4."扑克牌花纹怪异小丑服"</x:v>
      </x:c>
      <x:c r="F102" s="8" t="str">
        <x:v>按顺序核对：
1."紫红色倒竖尖锐短发"
2."左脸深色五角星右脸浅色水滴彩绘"
3."狭长邪异眼眸"
4."扑克牌花纹怪异小丑服"
再查“混没混”：特征串位、颜色污染、左右镜像、结构穿模 → 直接判错。
核心考点：面颊左右极精细不对称彩绘符号的高分辨率强约束对位，全身扑克几何印花防混乱。
任一红线触发 → 判错。</x:v>
      </x:c>
      <x:c r="G102" s="8" t="str"/>
    </x:row>
    <x:row r="103" ht="88" customHeight="1">
      <x:c r="A103" s="14" t="n">
        <x:v>102</x:v>
      </x:c>
      <x:c r="B103" s="18" t="str">
        <x:v>Tier 2</x:v>
      </x:c>
      <x:c r="C103" s="8" t="str">
        <x:v>酷拉皮卡(Kurapika)</x:v>
      </x:c>
      <x:c r="D103" s="8" t="str">
        <x:v>全职猎人</x:v>
      </x:c>
      <x:c r="E103" s="8" t="str">
        <x:v>1."金黄色齐颈中分短发"
2."情绪激动时变为火红眼"
3."蓝色镶金边宽大外袍套白武道服"
4."右手五指佩戴连着锁链的银色戒指"</x:v>
      </x:c>
      <x:c r="F103" s="8" t="str">
        <x:v>按顺序核对：
1."金黄色齐颈中分短发"
2."情绪激动时变为火红眼"
3."蓝色镶金边宽大外袍套白武道服"
4."右手五指佩戴连着锁链的银色戒指"
再查“混没混”：特征串位、颜色污染、左右镜像、结构穿模 → 直接判错。
核心考点：单手五指均带极微小独立且拖拽锁链的极高精密重构，防断裂防融合。
任一红线触发 → 判错。</x:v>
      </x:c>
      <x:c r="G103" s="8" t="str"/>
    </x:row>
    <x:row r="104" ht="88" customHeight="1">
      <x:c r="A104" s="14" t="n">
        <x:v>103</x:v>
      </x:c>
      <x:c r="B104" s="18" t="str">
        <x:v>Tier 2</x:v>
      </x:c>
      <x:c r="C104" s="8" t="str">
        <x:v>奇犽 (KilluaZoldyck)</x:v>
      </x:c>
      <x:c r="D104" s="8" t="str">
        <x:v>全职猎人</x:v>
      </x:c>
      <x:c r="E104" s="8" t="str">
        <x:v>1."蓬松银白色刺猬头"
2."蓝紫色大眼且可失去高光变全黑"
3."深蓝高领长袖外罩纯白短袖V领"
4."周围爆发出蓝白高压电网特效"</x:v>
      </x:c>
      <x:c r="F104" s="8" t="str">
        <x:v>按顺序核对：
1."蓬松银白色刺猬头"
2."蓝紫色大眼且可失去高光变全黑"
3."深蓝高领长袖外罩纯白短袖V领"
4."周围爆发出蓝白高压电网特效"
再查“混没混”：特征串位、颜色污染、左右镜像、结构穿模 → 直接判错。
核心考点：高领厚长袖在内与宽松短袖在外的反向叠穿层次逻辑认知，以及高光雷电防吞噬。
任一红线触发 → 判错。</x:v>
      </x:c>
      <x:c r="G104" s="8" t="str"/>
    </x:row>
    <x:row r="105" ht="88" customHeight="1">
      <x:c r="A105" s="14" t="n">
        <x:v>104</x:v>
      </x:c>
      <x:c r="B105" s="18" t="str">
        <x:v>Tier 2</x:v>
      </x:c>
      <x:c r="C105" s="8" t="str">
        <x:v>本条二亚 (NiaHonjou)</x:v>
      </x:c>
      <x:c r="D105" s="8" t="str">
        <x:v>约会大作战</x:v>
      </x:c>
      <x:c r="E105" s="8" t="str">
        <x:v>1."灰白半透明双马尾"
2."戴巨大十字架修女头纱"
3."右眼带十字准星特殊瞳孔"
4."欧洲古典修女服融合机甲元素"</x:v>
      </x:c>
      <x:c r="F105" s="8" t="str">
        <x:v>按顺序核对：
1."灰白半透明双马尾"
2."戴巨大十字架修女头纱"
3."右眼带十字准星特殊瞳孔"
4."欧洲古典修女服融合机甲元素"
再查“混没混”：特征串位、颜色污染、左右镜像、结构穿模 → 直接判错。
核心考点：发出金光巨型书本对环境光的渲染交互，眼内部十字微缩几何图案保留。
任一红线触发 → 判错。</x:v>
      </x:c>
      <x:c r="G105" s="8" t="str"/>
    </x:row>
    <x:row r="106" ht="88" customHeight="1">
      <x:c r="A106" s="14" t="n">
        <x:v>105</x:v>
      </x:c>
      <x:c r="B106" s="18" t="str">
        <x:v>Tier 2</x:v>
      </x:c>
      <x:c r="C106" s="8" t="str">
        <x:v>阿尔敏 (ArminArlert)</x:v>
      </x:c>
      <x:c r="D106" s="8" t="str">
        <x:v>进击的巨人</x:v>
      </x:c>
      <x:c r="E106" s="8" t="str">
        <x:v>1."纯金色温顺波波头或短平碎发"
2."清澈湛蓝大眼"
3."极度瘦弱体格"
4."棕色调查兵团超短制服夹克"</x:v>
      </x:c>
      <x:c r="F106" s="8" t="str">
        <x:v>按顺序核对：
1."纯金色温顺波波头或短平碎发"
2."清澈湛蓝大眼"
3."极度瘦弱体格"
4."棕色调查兵团超短制服夹克"
再查“混没混”：特征串位、颜色污染、左右镜像、结构穿模 → 直接判错。
核心考点：面部中性偏柔和特征在写实末日军装风格下的提取，防性别判定溢出。
任一红线触发 → 判错。</x:v>
      </x:c>
      <x:c r="G106" s="8" t="str"/>
    </x:row>
    <x:row r="107" ht="88" customHeight="1">
      <x:c r="A107" s="14" t="n">
        <x:v>106</x:v>
      </x:c>
      <x:c r="B107" s="18" t="str">
        <x:v>Tier 2</x:v>
      </x:c>
      <x:c r="C107" s="8" t="str">
        <x:v>夏亚 (CharAznable)</x:v>
      </x:c>
      <x:c r="D107" s="8" t="str">
        <x:v>机动战士高达</x:v>
      </x:c>
      <x:c r="E107" s="8" t="str">
        <x:v>1."金黄中长发"
2."大半脸被银色怪异半金属护目面具遮挡"
3."鲜红色军官制服带披风"
4."高傲冷酷神情"</x:v>
      </x:c>
      <x:c r="F107" s="8" t="str">
        <x:v>按顺序核对：
1."金黄中长发"
2."大半脸被银色怪异半金属护目面具遮挡"
3."鲜红色军官制服带披风"
4."高傲冷酷神情"
再查“混没混”：特征串位、颜色污染、左右镜像、结构穿模 → 直接判错。
核心考点：不规则金属曲面面罩遮挡的大面积光线反射，并严格绑定极具特指性的“夏亚红”深色。
任一红线触发 → 判错。</x:v>
      </x:c>
      <x:c r="G107" s="8" t="str"/>
    </x:row>
    <x:row r="108" ht="88" customHeight="1">
      <x:c r="A108" s="14" t="n">
        <x:v>107</x:v>
      </x:c>
      <x:c r="B108" s="18" t="str">
        <x:v>Tier 2</x:v>
      </x:c>
      <x:c r="C108" s="8" t="str">
        <x:v>阿斯兰 (AthrunZala)</x:v>
      </x:c>
      <x:c r="D108" s="8" t="str">
        <x:v>高达SEED</x:v>
      </x:c>
      <x:c r="E108" s="8" t="str">
        <x:v>1."深蓝色中分短发"
2."深绿色清澈瞳孔"
3."身穿酒红色扎夫特军服"
4."体态挺拔"</x:v>
      </x:c>
      <x:c r="F108" s="8" t="str">
        <x:v>按顺序核对：
1."深蓝色中分短发"
2."深绿色清澈瞳孔"
3."身穿酒红色扎夫特军服"
4."体态挺拔"
再查“混没混”：特征串位、颜色污染、左右镜像、结构穿模 → 直接判错。
核心考点：经典老派机甲动漫特有锐利画风与腰身贴合科幻军装的硬挺几何剪裁重现。
任一红线触发 → 判错。</x:v>
      </x:c>
      <x:c r="G108" s="8" t="str"/>
    </x:row>
    <x:row r="109" ht="88" customHeight="1">
      <x:c r="A109" s="14" t="n">
        <x:v>108</x:v>
      </x:c>
      <x:c r="B109" s="18" t="str">
        <x:v>Tier 2</x:v>
      </x:c>
      <x:c r="C109" s="8" t="str">
        <x:v>基拉·大和 (KiraYamato)</x:v>
      </x:c>
      <x:c r="D109" s="8" t="str">
        <x:v>高达SEED</x:v>
      </x:c>
      <x:c r="E109" s="8" t="str">
        <x:v>1."深棕色较长碎发脑后几撮外翘"
2."亮紫色巨大瞳孔"
3."白底深蓝镶边地球联合军制服"
4."面带深切愁容或流泪"</x:v>
      </x:c>
      <x:c r="F109" s="8" t="str">
        <x:v>按顺序核对：
1."深棕色较长碎发脑后几撮外翘"
2."亮紫色巨大瞳孔"
3."白底深蓝镶边地球联合军制服"
4."面带深切愁容或流泪"
再查“混没混”：特征串位、颜色污染、左右镜像、结构穿模 → 直接判错。
核心考点：极罕见瞳孔色（亮紫）与面部温特质在深层特征的对齐融合，防战损幻觉。
任一红线触发 → 判错。</x:v>
      </x:c>
      <x:c r="G109" s="8" t="str"/>
    </x:row>
    <x:row r="110" ht="88" customHeight="1">
      <x:c r="A110" s="14" t="n">
        <x:v>109</x:v>
      </x:c>
      <x:c r="B110" s="18" t="str">
        <x:v>Tier 2</x:v>
      </x:c>
      <x:c r="C110" s="8" t="str">
        <x:v>伊利亚(Illyasviel)</x:v>
      </x:c>
      <x:c r="D110" s="8" t="str">
        <x:v>Fate系列</x:v>
      </x:c>
      <x:c r="E110" s="8" t="str">
        <x:v>1."纯银白极长直发"
2."酒红色深邃红瞳"
3."厚重纯白带紫罗兰长绒毛边冬装及绒帽"
4."小学生级别极其娇小体型"</x:v>
      </x:c>
      <x:c r="F110" s="8" t="str">
        <x:v>按顺序核对：
1."纯银白极长直发"
2."酒红色深邃红瞳"
3."厚重纯白带紫罗兰长绒毛边冬装及绒帽"
4."小学生级别极其娇小体型"
再查“混没混”：特征串位、颜色污染、左右镜像、结构穿模 → 直接判错。
核心考点：极度幼态的体格和厚重极宽大蓬松俄式贵族长绒冬装服饰的强对比反差组合。
任一红线触发 → 判错。</x:v>
      </x:c>
      <x:c r="G110" s="8" t="str"/>
    </x:row>
    <x:row r="111" ht="88" customHeight="1">
      <x:c r="A111" s="14" t="n">
        <x:v>110</x:v>
      </x:c>
      <x:c r="B111" s="18" t="str">
        <x:v>Tier 2</x:v>
      </x:c>
      <x:c r="C111" s="8" t="str">
        <x:v>山治 (Sanji)</x:v>
      </x:c>
      <x:c r="D111" s="8" t="str">
        <x:v>海贼王</x:v>
      </x:c>
      <x:c r="E111" s="8" t="str">
        <x:v>1."金发且单侧刘海完全遮眼"
2."卷曲成蚊香状的圆圈眉毛"
3."纯黑双排扣修身西装"
4."嘴里叼着燃着火星的香烟"</x:v>
      </x:c>
      <x:c r="F111" s="8" t="str">
        <x:v>按顺序核对：
1."金发且单侧刘海完全遮眼"
2."卷曲成蚊香状的圆圈眉毛"
3."纯黑双排扣修身西装"
4."嘴里叼着燃着火星的香烟"
再查“混没混”：特征串位、颜色污染、左右镜像、结构穿模 → 直接判错。
核心考点：违背生理学的变异（完美卷圈状眉毛）在面孔拓扑平面上的几何学重绘。
任一红线触发 → 判错。</x:v>
      </x:c>
      <x:c r="G111" s="8" t="str"/>
    </x:row>
    <x:row r="112" ht="88" customHeight="1">
      <x:c r="A112" s="14" t="n">
        <x:v>111</x:v>
      </x:c>
      <x:c r="B112" s="18" t="str">
        <x:v>Tier 2</x:v>
      </x:c>
      <x:c r="C112" s="8" t="str">
        <x:v>卡卡西 (KakashiHatake)</x:v>
      </x:c>
      <x:c r="D112" s="8" t="str">
        <x:v>火影忍者</x:v>
      </x:c>
      <x:c r="E112" s="8" t="str">
        <x:v>1."银白冲天刺猬短发"
2."左眼被斜拉护额遮挡且有纵向刀疤"
3."纯黑面罩彻底遮挡下半脸"
4."木叶深绿色防弹马甲"</x:v>
      </x:c>
      <x:c r="F112" s="8" t="str">
        <x:v>按顺序核对：
1."银白冲天刺猬短发"
2."左眼被斜拉护额遮挡且有纵向刀疤"
3."纯黑面罩彻底遮挡下半脸"
4."木叶深绿色防弹马甲"
再查“混没混”：特征串位、颜色污染、左右镜像、结构穿模 → 直接判错。
核心考点：脸部上下半区完全被不同材质遮挡物独立阻隔时的五官光影交界推算测试。
任一红线触发 → 判错。</x:v>
      </x:c>
      <x:c r="G112" s="8" t="str"/>
    </x:row>
    <x:row r="113" ht="88" customHeight="1">
      <x:c r="A113" s="14" t="n">
        <x:v>112</x:v>
      </x:c>
      <x:c r="B113" s="18" t="str">
        <x:v>Tier 2</x:v>
      </x:c>
      <x:c r="C113" s="8" t="str">
        <x:v>奈良鹿丸(ShikamaruNara)</x:v>
      </x:c>
      <x:c r="D113" s="8" t="str">
        <x:v>火影忍者</x:v>
      </x:c>
      <x:c r="E113" s="8" t="str">
        <x:v>1."黑发高扎成冲天菠萝头马尾"
2."戴隐秘微小银质耳环"
3."木叶高领制服内露网状内衣"
4."极度慵懒怠惰眼神"</x:v>
      </x:c>
      <x:c r="F113" s="8" t="str">
        <x:v>按顺序核对：
1."黑发高扎成冲天菠萝头马尾"
2."戴隐秘微小银质耳环"
3."木叶高领制服内露网状内衣"
4."极度慵懒怠惰眼神"
再查“混没混”：特征串位、颜色污染、左右镜像、结构穿模 → 直接判错。
核心考点：反常识高马尾刺发抗压体积感，领口露出高清交叉细密网状纤维内衣光学衍射。
任一红线触发 → 判错。</x:v>
      </x:c>
      <x:c r="G113" s="8" t="str"/>
    </x:row>
    <x:row r="114" ht="88" customHeight="1">
      <x:c r="A114" s="14" t="n">
        <x:v>113</x:v>
      </x:c>
      <x:c r="B114" s="18" t="str">
        <x:v>Tier 2</x:v>
      </x:c>
      <x:c r="C114" s="8" t="str">
        <x:v>晓美焰 (HomuraAkemi)</x:v>
      </x:c>
      <x:c r="D114" s="8" t="str">
        <x:v>魔法少女小圆</x:v>
      </x:c>
      <x:c r="E114" s="8" t="str">
        <x:v>1."深邃黑过腰长直发"
2."暗紫色眼瞳"
3."黑白复古长袖魔法少女短裙及黑色长袜"
4."左前臂戴含齿轮表盘金属圆形臂盾"</x:v>
      </x:c>
      <x:c r="F114" s="8" t="str">
        <x:v>按顺序核对：
1."深邃黑过腰长直发"
2."暗紫色眼瞳"
3."黑白复古长袖魔法少女短裙及黑色长袜"
4."左前臂戴含齿轮表盘金属圆形臂盾"
再查“混没混”：特征串位、颜色污染、左右镜像、结构穿模 → 直接判错。
核心考点：轻柔服饰产生高对比灰阶块与左臂高频密度复杂机械零件引发的强烈突变分层。
任一红线触发 → 判错。</x:v>
      </x:c>
      <x:c r="G114" s="8" t="str"/>
    </x:row>
    <x:row r="115" ht="88" customHeight="1">
      <x:c r="A115" s="14" t="n">
        <x:v>114</x:v>
      </x:c>
      <x:c r="B115" s="18" t="str">
        <x:v>Tier 2</x:v>
      </x:c>
      <x:c r="C115" s="8" t="str">
        <x:v>鹿目圆 (MadokaKaname)</x:v>
      </x:c>
      <x:c r="D115" s="8" t="str">
        <x:v>魔法少女小圆</x:v>
      </x:c>
      <x:c r="E115" s="8" t="str">
        <x:v>1."浅粉红短发高扎双马尾带红丝带"
2."粉色大眼"
3."布满繁复荷叶边与蝴蝶结的粉色短裙"
4."手持粉色树枝状发光魔弓"</x:v>
      </x:c>
      <x:c r="F115" s="8" t="str">
        <x:v>按顺序核对：
1."浅粉红短发高扎双马尾带红丝带"
2."粉色大眼"
3."布满繁复荷叶边与蝴蝶结的粉色短裙"
4."手持粉色树枝状发光魔弓"
再查“混没混”：特征串位、颜色污染、左右镜像、结构穿模 → 直接判错。
核心考点：极高频重复细节（密密麻麻蕾丝荷叶边层叠）层级深度划分，非金属自发光植物武器。
任一红线触发 → 判错。</x:v>
      </x:c>
      <x:c r="G115" s="8" t="str"/>
    </x:row>
    <x:row r="116" ht="88" customHeight="1">
      <x:c r="A116" s="14" t="n">
        <x:v>115</x:v>
      </x:c>
      <x:c r="B116" s="18" t="str">
        <x:v>Tier 2</x:v>
      </x:c>
      <x:c r="C116" s="8" t="str">
        <x:v>惣流·明日香(Asuka Langley)</x:v>
      </x:c>
      <x:c r="D116" s="8" t="str">
        <x:v>新世纪福音战士</x:v>
      </x:c>
      <x:c r="E116" s="8" t="str">
        <x:v>1."鲜艳橙红飞扬双马尾"
2."头顶戴红黑A10神经连接器小发卡"
3."红黑高反光胶衣涂层2号机战斗服"
4."高傲充满攻击性神态"</x:v>
      </x:c>
      <x:c r="F116" s="8" t="str">
        <x:v>按顺序核对：
1."鲜艳橙红飞扬双马尾"
2."头顶戴红黑A10神经连接器小发卡"
3."红黑高反光胶衣涂层2号机战斗服"
4."高傲充满攻击性神态"
再查“混没混”：特征串位、颜色污染、左右镜像、结构穿模 → 直接判错。
核心考点：机械头饰边缘极度细微固态反光点与大面积乳胶紧身衣高光白点的光学表面对齐统一。
任一红线触发 → 判错。</x:v>
      </x:c>
      <x:c r="G116" s="8" t="str"/>
    </x:row>
    <x:row r="117" ht="88" customHeight="1">
      <x:c r="A117" s="14" t="n">
        <x:v>116</x:v>
      </x:c>
      <x:c r="B117" s="18" t="str">
        <x:v>Tier 2</x:v>
      </x:c>
      <x:c r="C117" s="8" t="str">
        <x:v>真希波 (MariMakinami)</x:v>
      </x:c>
      <x:c r="D117" s="8" t="str">
        <x:v>新世纪福音战士</x:v>
      </x:c>
      <x:c r="E117" s="8" t="str">
        <x:v>1."深棕长发扎两条麻花长辫"
2."红色仅有上半框半框眼镜"
3."极鲜艳粉色超紧身战斗服"
4."经常带有狂野嗜血巨大笑容"</x:v>
      </x:c>
      <x:c r="F117" s="8" t="str">
        <x:v>按顺序核对：
1."深棕长发扎两条麻花长辫"
2."红色仅有上半框半框眼镜"
3."极鲜艳粉色超紧身战斗服"
4."经常带有狂野嗜血巨大笑容"
再查“混没混”：特征串位、颜色污染、左右镜像、结构穿模 → 直接判错。
核心考点：反常识半框眼镜框在缺少下半截镜架支撑下诡异结构透视，极细长绿色装饰走线防模糊。
任一红线触发 → 判错。</x:v>
      </x:c>
      <x:c r="G117" s="8" t="str"/>
    </x:row>
    <x:row r="118" ht="88" customHeight="1">
      <x:c r="A118" s="14" t="n">
        <x:v>117</x:v>
      </x:c>
      <x:c r="B118" s="18" t="str">
        <x:v>Tier 2</x:v>
      </x:c>
      <x:c r="C118" s="8" t="str">
        <x:v>L (L Lawliet)</x:v>
      </x:c>
      <x:c r="D118" s="8" t="str">
        <x:v>死亡笔记</x:v>
      </x:c>
      <x:c r="E118" s="8" t="str">
        <x:v>1.[""黑色自然卷乱发（略微遮眼）""
2.""深眼眶与厚重黑眼袋，苍白皮肤""
3.""白色长袖T恤，光脚或只穿白袜""
4.""弓背蜷缩的坐姿""]</x:v>
      </x:c>
      <x:c r="F118" s="8" t="str">
        <x:v>按顺序核对：
1.[""黑色自然卷乱发（略微遮眼）""
2.""深眼眶与厚重黑眼袋，苍白皮肤""
3.""白色长袖T恤，光脚或只穿白袜""
4.""弓背蜷缩的坐姿""]
再查“混没混”：特征串位、颜色污染、左右镜像、结构穿模 → 直接判错。
核心考点：全身极限收缩（蹲坐）防断肢或融合畸形大肉块，眼部极大范围黑眼圈防眼球被感染全黑。
任一红线触发 → 判错。</x:v>
      </x:c>
      <x:c r="G118" s="8" t="str"/>
    </x:row>
    <x:row r="119" ht="88" customHeight="1">
      <x:c r="A119" s="14" t="n">
        <x:v>118</x:v>
      </x:c>
      <x:c r="B119" s="18" t="str">
        <x:v>Tier 2</x:v>
      </x:c>
      <x:c r="C119" s="8" t="str">
        <x:v>弥海砂 (MisaAmane)</x:v>
      </x:c>
      <x:c r="D119" s="8" t="str">
        <x:v>死亡笔记</x:v>
      </x:c>
      <x:c r="E119" s="8" t="str">
        <x:v>1."金发高绑双马尾"
2."极重暗黑哥特风粗大黑色眼影"
3."带锁链皮带项圈暗黑哥特短裙及网袜"
4."双手戴满十字架金属戒指"</x:v>
      </x:c>
      <x:c r="F119" s="8" t="str">
        <x:v>按顺序核对：
1."金发高绑双马尾"
2."极重暗黑哥特风粗大黑色眼影"
3."带锁链皮带项圈暗黑哥特短裙及网袜"
4."双手戴满十字架金属戒指"
再查“混没混”：特征串位、颜色污染、左右镜像、结构穿模 → 直接判错。
核心考点：极繁复细碎金属配饰（大量锁链与戒指）在极小空间保持独立几何不堆积成噪点。
任一红线触发 → 判错。</x:v>
      </x:c>
      <x:c r="G119" s="8" t="str"/>
    </x:row>
    <x:row r="120" ht="88" customHeight="1">
      <x:c r="A120" s="14" t="n">
        <x:v>119</x:v>
      </x:c>
      <x:c r="B120" s="18" t="str">
        <x:v>Tier 2</x:v>
      </x:c>
      <x:c r="C120" s="8" t="str">
        <x:v>平泽唯 (YuiHirasawa)</x:v>
      </x:c>
      <x:c r="D120" s="8" t="str">
        <x:v>轻音少女</x:v>
      </x:c>
      <x:c r="E120" s="8" t="str">
        <x:v>1."深棕微内扣齐肩短发带黄色一字发夹"
2."圆润大眼"
3."深蓝西装校服配小红领结"
4."斜抱高亮爆裂纹电吉他"</x:v>
      </x:c>
      <x:c r="F120" s="8" t="str">
        <x:v>按顺序核对：
1."深棕微内扣齐肩短发带黄色一字发夹"
2."圆润大眼"
3."深蓝西装校服配小红领结"
4."斜抱高亮爆裂纹电吉他"
再查“混没混”：特征串位、颜色污染、左右镜像、结构穿模 → 直接判错。
核心考点：真实名牌电吉他（六根金属弦与旋钮）刚硬工业比例完美度，与少女柔软手指精准按弦透视。
任一红线触发 → 判错。</x:v>
      </x:c>
      <x:c r="G120" s="8" t="str"/>
    </x:row>
    <x:row r="121" ht="88" customHeight="1">
      <x:c r="A121" s="14" t="n">
        <x:v>120</x:v>
      </x:c>
      <x:c r="B121" s="18" t="str">
        <x:v>Tier 2</x:v>
      </x:c>
      <x:c r="C121" s="8" t="str">
        <x:v>秋山澪 (MioAkiyama)</x:v>
      </x:c>
      <x:c r="D121" s="8" t="str">
        <x:v>轻音少女</x:v>
      </x:c>
      <x:c r="E121" s="8" t="str">
        <x:v>1."黑色及腰长直发"
2."深邃黑眼瞳"
3."深蓝西装校服配小红领结"
4."左撇子姿势斜抱四弦电贝斯"</x:v>
      </x:c>
      <x:c r="F121" s="8" t="str">
        <x:v>按顺序核对：
1."黑色及腰长直发"
2."深邃黑眼瞳"
3."深蓝西装校服配小红领结"
4."左撇子姿势斜抱四弦电贝斯"
再查“混没混”：特征串位、颜色污染、左右镜像、结构穿模 → 直接判错。
核心考点：左撇子逆向持重乐器反演映射（防模型靠先验强制颠倒琴头），及贝斯独有粗长四根弦刻画。
任一红线触发 → 判错。</x:v>
      </x:c>
      <x:c r="G121" s="8" t="str"/>
    </x:row>
    <x:row r="122" ht="88" customHeight="1">
      <x:c r="A122" s="14" t="n">
        <x:v>121</x:v>
      </x:c>
      <x:c r="B122" s="18" t="str">
        <x:v>Tier 2</x:v>
      </x:c>
      <x:c r="C122" s="8" t="str">
        <x:v>战场原黑仪(HitagiSenjougahara)</x:v>
      </x:c>
      <x:c r="D122" s="8" t="str">
        <x:v>物语系列</x:v>
      </x:c>
      <x:c r="E122" s="8" t="str">
        <x:v>1."深紫过肩长直发或极短发"
2."冰冷无机质空洞锐利眼神"
3."紫粉调直筒高中校服"
4."双手持多把打开状态金属订书机或美工刀"</x:v>
      </x:c>
      <x:c r="F122" s="8" t="str">
        <x:v>按顺序核对：
1."深紫过肩长直发或极短发"
2."冰冷无机质空洞锐利眼神"
3."紫粉调直筒高中校服"
4."双手持多把打开状态金属订书机或美工刀"
再查“混没混”：特征串位、颜色污染、左右镜像、结构穿模 → 直接判错。
核心考点：将极微小碎冷的现代文具（订书机等）作为凶器武器系统在极小空间被手指极限精确抓握。
任一红线触发 → 判错。</x:v>
      </x:c>
      <x:c r="G122" s="8" t="str"/>
    </x:row>
    <x:row r="123" ht="88" customHeight="1">
      <x:c r="A123" s="14" t="n">
        <x:v>122</x:v>
      </x:c>
      <x:c r="B123" s="18" t="str">
        <x:v>Tier 2</x:v>
      </x:c>
      <x:c r="C123" s="8" t="str">
        <x:v>忍野忍 (ShinobuOshino)</x:v>
      </x:c>
      <x:c r="D123" s="8" t="str">
        <x:v>物语系列</x:v>
      </x:c>
      <x:c r="E123" s="8" t="str">
        <x:v>1."金黄过腰长直发"
2."锐利金黄猫眼"
3."头戴红飘带老式飞行员护目镜(部分形态)"
4."手抱或咬着有糖霜反光甜甜圈"</x:v>
      </x:c>
      <x:c r="F123" s="8" t="str">
        <x:v>按顺序核对：
1."金黄过腰长直发"
2."锐利金黄猫眼"
3."头戴红飘带老式飞行员护目镜(部分形态)"
4."手抱或咬着有糖霜反光甜甜圈"
再查“混没混”：特征串位、颜色污染、左右镜像、结构穿模 → 直接判错。
核心考点：软嘴唇肌肉曲线和食物缺口截面交融空间遮挡推算，防牙齿糊掉长入甜甜圈内。
任一红线触发 → 判错。</x:v>
      </x:c>
      <x:c r="G123" s="8" t="str"/>
    </x:row>
    <x:row r="124" ht="88" customHeight="1">
      <x:c r="A124" s="14" t="n">
        <x:v>123</x:v>
      </x:c>
      <x:c r="B124" s="18" t="str">
        <x:v>Tier 2</x:v>
      </x:c>
      <x:c r="C124" s="8" t="str">
        <x:v>阿尔托莉雅(Saber)</x:v>
      </x:c>
      <x:c r="D124" s="8" t="str">
        <x:v>Fate系列</x:v>
      </x:c>
      <x:c r="E124" s="8" t="str">
        <x:v>1."金色盘发与呆毛"
2."蓝白相间洋装"
3."银色重型铠甲"
4."手持隐形剑或金剑"</x:v>
      </x:c>
      <x:c r="F124" s="8" t="str">
        <x:v>按顺序核对：
1."金色盘发与呆毛"
2."蓝白相间洋装"
3."银色重型铠甲"
4."手持隐形剑或金剑"
再查“混没混”：特征串位、颜色污染、左右镜像、结构穿模 → 直接判错。
核心考点：作为在复杂武器交互下检验概念隔离屏障强度的内部基准对照角色。
任一红线触发 → 判错。</x:v>
      </x:c>
      <x:c r="G124" s="8" t="str"/>
    </x:row>
    <x:row r="125" ht="88" customHeight="1">
      <x:c r="A125" s="14" t="n">
        <x:v>124</x:v>
      </x:c>
      <x:c r="B125" s="18" t="str">
        <x:v>Tier 2</x:v>
      </x:c>
      <x:c r="C125" s="8" t="str">
        <x:v>远坂凛 (RinTohsaka)</x:v>
      </x:c>
      <x:c r="D125" s="8" t="str">
        <x:v>Fate系列</x:v>
      </x:c>
      <x:c r="E125" s="8" t="str">
        <x:v>1."黑发左右不对称高扎双马尾配黑蝴蝶结"
2."水蓝色大圆眼"
3."正红色高领毛衣搭超短黑百褶裙"
4."黑色过膝长筒袜与大腿间绝对领域"</x:v>
      </x:c>
      <x:c r="F125" s="8" t="str">
        <x:v>按顺序核对：
1."黑发左右不对称高扎双马尾配黑蝴蝶结"
2."水蓝色大圆眼"
3."正红色高领毛衣搭超短黑百褶裙"
4."黑色过膝长筒袜与大腿间绝对领域"
再查“混没混”：特征串位、颜色污染、左右镜像、结构穿模 → 直接判错。
核心考点：呈现极具吸引力的“绝对领域”（极短裙摆与紧绷过膝袜顶边勒出的一小截肤色）的比例分割。
任一红线触发 → 判错。</x:v>
      </x:c>
      <x:c r="G125" s="8" t="str"/>
    </x:row>
    <x:row r="126" ht="88" customHeight="1">
      <x:c r="A126" s="14" t="n">
        <x:v>125</x:v>
      </x:c>
      <x:c r="B126" s="18" t="str">
        <x:v>Tier 2</x:v>
      </x:c>
      <x:c r="C126" s="8" t="str">
        <x:v>间桐樱 (SakuraMatou)</x:v>
      </x:c>
      <x:c r="D126" s="8" t="str">
        <x:v>Fate系列</x:v>
      </x:c>
      <x:c r="E126" s="8" t="str">
        <x:v>1."深紫贴脸短发左侧鬓角系亮紫红极细发带"
2."外侧眼角下垂的紫色下垂眼"
3."穗群原学园暗褐色长袖校服"
4."极度丰满身材散发压抑绝望气息"</x:v>
      </x:c>
      <x:c r="F126" s="8" t="str">
        <x:v>按顺序核对：
1."深紫贴脸短发左侧鬓角系亮紫红极细发带"
2."外侧眼角下垂的紫色下垂眼"
3."穗群原学园暗褐色长袖校服"
4."极度丰满身材散发压抑绝望气息"
再查“混没混”：特征串位、颜色污染、左右镜像、结构穿模 → 直接判错。
核心考点：单边不平衡极细微特征稳定性（单侧亮紫细发带）在极容易被深紫发大环境色吞噬时的色彩保护。
任一红线触发 → 判错。</x:v>
      </x:c>
      <x:c r="G126" s="8" t="str"/>
    </x:row>
    <x:row r="127" ht="88" customHeight="1">
      <x:c r="A127" s="14" t="n">
        <x:v>126</x:v>
      </x:c>
      <x:c r="B127" s="18" t="str">
        <x:v>Tier 2</x:v>
      </x:c>
      <x:c r="C127" s="8" t="str">
        <x:v>迪奥·布兰度(DIO)</x:v>
      </x:c>
      <x:c r="D127" s="8" t="str">
        <x:v>JOJO的奇妙冒险</x:v>
      </x:c>
      <x:c r="E127" s="8" t="str">
        <x:v>1."金黄色大背头"
2."左耳有三颗连成直线的黑痣"
3."极其鲜艳黄色夹克与长皮裤配绿心护额"
4."摆出躯干极度向后弯折霸气姿势"</x:v>
      </x:c>
      <x:c r="F127" s="8" t="str">
        <x:v>按顺序核对：
1."金黄色大背头"
2."左耳有三颗连成直线的黑痣"
3."极其鲜艳黄色夹克与长皮裤配绿心护额"
4."摆出躯干极度向后弯折霸气姿势"
再查“混没混”：特征串位、颜色污染、左右镜像、结构穿模 → 直接判错。
核心考点：人类骨骼极度夸张反转大折叠动态（JOJO立）的重心极强不扭曲抗撕裂稳定性计算。
任一红线触发 → 判错。</x:v>
      </x:c>
      <x:c r="G127" s="8" t="str"/>
    </x:row>
    <x:row r="128" ht="88" customHeight="1">
      <x:c r="A128" s="14" t="n">
        <x:v>127</x:v>
      </x:c>
      <x:c r="B128" s="18" t="str">
        <x:v>Tier 2</x:v>
      </x:c>
      <x:c r="C128" s="8" t="str">
        <x:v>吉良吉影(Yoshikage Kira)</x:v>
      </x:c>
      <x:c r="D128" s="8" t="str">
        <x:v>JOJO的奇妙冒险</x:v>
      </x:c>
      <x:c r="E128" s="8" t="str">
        <x:v>1."油光纯金大背头"
2."浅冷灰调修身双排扣西服"
3."印满极小白色猫耳骷髅头的深色长领带"
4."极度平静漠视生命神情"</x:v>
      </x:c>
      <x:c r="F128" s="8" t="str">
        <x:v>按顺序核对：
1."油光纯金大背头"
2."浅冷灰调修身双排扣西服"
3."印满极小白色猫耳骷髅头的深色长领带"
4."极度平静漠视生命神情"
再查“混没混”：特征串位、颜色污染、左右镜像、结构穿模 → 直接判错。
核心考点：领带狭小布面上极度密集排列微观复杂花纹（猫耳骷髅头印花）在透视弯曲下绝对无缝生成防成色斑。
任一红线触发 → 判错。</x:v>
      </x:c>
      <x:c r="G128" s="8" t="str"/>
    </x:row>
    <x:row r="129" ht="88" customHeight="1">
      <x:c r="A129" s="14" t="n">
        <x:v>128</x:v>
      </x:c>
      <x:c r="B129" s="18" t="str">
        <x:v>Tier 2</x:v>
      </x:c>
      <x:c r="C129" s="8" t="str">
        <x:v>空条徐伦 (JolyneCujoh)</x:v>
      </x:c>
      <x:c r="D129" s="8" t="str">
        <x:v>JOJO的奇妙冒险</x:v>
      </x:c>
      <x:c r="E129" s="8" t="str">
        <x:v>1."黄绿黑双色交织双高丸子头带长辫"
2."荒木风浓黑深邃眼线大眼"
3."胸口有巨大亮粉色蝴蝶刺青"
4."暴露贴身极细密蜘蛛网状黑线衣"</x:v>
      </x:c>
      <x:c r="F129" s="8" t="str">
        <x:v>按顺序核对：
1."黄绿黑双色交织双高丸子头带长辫"
2."荒木风浓黑深邃眼线大眼"
3."胸口有巨大亮粉色蝴蝶刺青"
4."暴露贴身极细密蜘蛛网状黑线衣"
再查“混没混”：特征串位、颜色污染、左右镜像、结构穿模 → 直接判错。
核心考点：左侧狭小裸露皮肤的极精细粉蝴蝶刺青与上方极其复杂立体交错黑线网格衣物发生双层重叠防污染干涉。
任一红线触发 → 判错。</x:v>
      </x:c>
      <x:c r="G129" s="8" t="str"/>
    </x:row>
    <x:row r="130" ht="88" customHeight="1">
      <x:c r="A130" s="14" t="n">
        <x:v>129</x:v>
      </x:c>
      <x:c r="B130" s="18" t="str">
        <x:v>Tier 2</x:v>
      </x:c>
      <x:c r="C130" s="8" t="str">
        <x:v>斯派克 (SpikeSpiegel)</x:v>
      </x:c>
      <x:c r="D130" s="8" t="str">
        <x:v>星际牛仔</x:v>
      </x:c>
      <x:c r="E130" s="8" t="str">
        <x:v>1."深绿色蓬松乱糟糟天然卷发"
2."右眼为人工义眼具有锐利感"
3."深蓝高立领复古西装敞开露黄衬衫"
4."嘴里斜叼细长廉价香烟"</x:v>
      </x:c>
      <x:c r="F130" s="8" t="str">
        <x:v>按顺序核对：
1."深绿色蓬松乱糟糟天然卷发"
2."右眼为人工义眼具有锐利感"
3."深蓝高立领复古西装敞开露黄衬衫"
4."嘴里斜叼细长廉价香烟"
再查“混没混”：特征串位、颜色污染、左右镜像、结构穿模 → 直接判错。
核心考点：90年代老派硬核带浓重赛璐璐平涂光影极简画风保留，在极高AI渲染时代防被抹平为油腻韩国网游画风。
任一红线触发 → 判错。</x:v>
      </x:c>
      <x:c r="G130" s="8" t="str"/>
    </x:row>
    <x:row r="131" ht="88" customHeight="1">
      <x:c r="A131" s="14" t="n">
        <x:v>130</x:v>
      </x:c>
      <x:c r="B131" s="18" t="str">
        <x:v>Tier 2</x:v>
      </x:c>
      <x:c r="C131" s="8" t="str">
        <x:v>菲·瓦伦丁 (FayeValentine)</x:v>
      </x:c>
      <x:c r="D131" s="8" t="str">
        <x:v>星际牛仔</x:v>
      </x:c>
      <x:c r="E131" s="8" t="str">
        <x:v>1."高反光紫色齐颈短直发带黄发箍"
2."翠绿色极品晶莹眼瞳"
3."极度暴露黄深V背心与红开衫短外套"
4."腿穿高透明黑蕾丝吊带袜"</x:v>
      </x:c>
      <x:c r="F131" s="8" t="str">
        <x:v>按顺序核对：
1."高反光紫色齐颈短直发带黄发箍"
2."翠绿色极品晶莹眼瞳"
3."极度暴露黄深V背心与红开衫短外套"
4."腿穿高透明黑蕾丝吊带袜"
再查“混没混”：特征串位、颜色污染、左右镜像、结构穿模 → 直接判错。
核心考点：极高透光网眼吊带袜蕾丝材质在肌肤不同曲率的漫反射处理，与头部黄硬发箍对头发结构的物理抗压。
任一红线触发 → 判错。</x:v>
      </x:c>
      <x:c r="G131" s="8" t="str"/>
    </x:row>
    <x:row r="132" ht="88" customHeight="1">
      <x:c r="A132" s="14" t="n">
        <x:v>131</x:v>
      </x:c>
      <x:c r="B132" s="18" t="str">
        <x:v>Tier 2</x:v>
      </x:c>
      <x:c r="C132" s="8" t="str">
        <x:v>狡啮慎也(Shinya Kogami)</x:v>
      </x:c>
      <x:c r="D132" s="8" t="str">
        <x:v>心理测量者</x:v>
      </x:c>
      <x:c r="E132" s="8" t="str">
        <x:v>1."黑杂乱短碎发"
2."深陷极其冷酷猎犬般锐利眼神"
3."大敞不扣的黑西装外套内搭深黑衬衫"
4."单手持发亮蓝光科幻巨枪(支配者)"</x:v>
      </x:c>
      <x:c r="F132" s="8" t="str">
        <x:v>按顺序核对：
1."黑杂乱短碎发"
2."深陷极其冷酷猎犬般锐利眼神"
3."大敞不扣的黑西装外套内搭深黑衬衫"
4."单手持发亮蓝光科幻巨枪(支配者)"
再查“混没混”：特征串位、颜色污染、左右镜像、结构穿模 → 直接判错。
核心考点：高精细复杂科幻枪械上的蓝光发光线条在极度暗色衣服大背景中正确发光产生光晕而绝不过曝致武器几何边缘溶解。
任一红线触发 → 判错。</x:v>
      </x:c>
      <x:c r="G132" s="8" t="str"/>
    </x:row>
    <x:row r="133" ht="88" customHeight="1">
      <x:c r="A133" s="14" t="n">
        <x:v>132</x:v>
      </x:c>
      <x:c r="B133" s="18" t="str">
        <x:v>Tier 2</x:v>
      </x:c>
      <x:c r="C133" s="8" t="str">
        <x:v>常守朱 (AkaneTsunemori)</x:v>
      </x:c>
      <x:c r="D133" s="8" t="str">
        <x:v>心理测量者</x:v>
      </x:c>
      <x:c r="E133" s="8" t="str">
        <x:v>1."棕褐色齐耳乖巧波波头"
2."极其圆润大眼但眼神透出坚毅"
3."干练深黑西装或长宽大黑风衣"
4."手持与娇小体型反差的重型科幻枪(支配者)"</x:v>
      </x:c>
      <x:c r="F133" s="8" t="str">
        <x:v>按顺序核对：
1."棕褐色齐耳乖巧波波头"
2."极其圆润大眼但眼神透出坚毅"
3."干练深黑西装或长宽大黑风衣"
4."手持与娇小体型反差的重型科幻枪(支配者)"
再查“混没混”：特征串位、颜色污染、左右镜像、结构穿模 → 直接判错。
核心考点：极度柔和偏圆润二次元面庞与手里写实重工赛博重型机械武器强烈对比不发生相互同化能力的测试。
任一红线触发 → 判错。</x:v>
      </x:c>
      <x:c r="G133" s="8" t="str"/>
    </x:row>
    <x:row r="134" ht="88" customHeight="1">
      <x:c r="A134" s="14" t="n">
        <x:v>133</x:v>
      </x:c>
      <x:c r="B134" s="18" t="str">
        <x:v>Tier 2</x:v>
      </x:c>
      <x:c r="C134" s="8" t="str">
        <x:v>卫宫切嗣(Kiritsugu Emiya)</x:v>
      </x:c>
      <x:c r="D134" s="8" t="str">
        <x:v>Fate/Zero</x:v>
      </x:c>
      <x:c r="E134" s="8" t="str">
        <x:v>1."黑凌乱碎发带严重黑眼圈"
2."下巴带有不修边幅胡茬"
3."纯黑色长款风衣下摆飞扬"
4."手持灰暗工业质感M950冲锋枪"</x:v>
      </x:c>
      <x:c r="F134" s="8" t="str">
        <x:v>按顺序核对：
1."黑凌乱碎发带严重黑眼圈"
2."下巴带有不修边幅胡茬"
3."纯黑色长款风衣下摆飞扬"
4."手持灰暗工业质感M950冲锋枪"
再查“混没混”：特征串位、颜色污染、左右镜像、结构穿模 → 直接判错。
核心考点：扩散模型对于大面积纯黑服饰在暗淡环境下保持层次感折叠褶皱清晰而非死黑一团的极限解析力测试。
任一红线触发 → 判错。</x:v>
      </x:c>
      <x:c r="G134" s="8" t="str"/>
    </x:row>
    <x:row r="135" ht="88" customHeight="1">
      <x:c r="A135" s="14" t="n">
        <x:v>134</x:v>
      </x:c>
      <x:c r="B135" s="18" t="str">
        <x:v>Tier 2</x:v>
      </x:c>
      <x:c r="C135" s="8" t="str">
        <x:v>结城明日奈(Asuna Yuuki)</x:v>
      </x:c>
      <x:c r="D135" s="8" t="str">
        <x:v>刀剑神域</x:v>
      </x:c>
      <x:c r="E135" s="8" t="str">
        <x:v>1."栗色长发脑后编有小股麻花辫"
2."明亮琥珀色双眸"
3."白底红镶边血盟骑士团制服带银色胸甲"
4."右手持极细长银剑(闪烁之光)"</x:v>
      </x:c>
      <x:c r="F135" s="8" t="str">
        <x:v>按顺序核对：
1."栗色长发脑后编有小股麻花辫"
2."明亮琥珀色双眸"
3."白底红镶边血盟骑士团制服带银色胸甲"
4."右手持极细长银剑(闪烁之光)"
再查“混没混”：特征串位、颜色污染、左右镜像、结构穿模 → 直接判错。
核心考点：扩散降噪过程中极其容易因武器（极细长剑柄和护手）的几何过细而丢失像素断裂崩坏防护测试。
任一红线触发 → 判错。</x:v>
      </x:c>
      <x:c r="G135" s="8" t="str"/>
    </x:row>
    <x:row r="136" ht="88" customHeight="1">
      <x:c r="A136" s="14" t="n">
        <x:v>135</x:v>
      </x:c>
      <x:c r="B136" s="18" t="str">
        <x:v>Tier 2</x:v>
      </x:c>
      <x:c r="C136" s="8" t="str">
        <x:v>朝田诗乃 (Sinon)</x:v>
      </x:c>
      <x:c r="D136" s="8" t="str">
        <x:v>刀剑神域</x:v>
      </x:c>
      <x:c r="E136" s="8" t="str">
        <x:v>1."水蓝色短发两颊垂下一缕长发"
2."蓝绿瞳孔且头戴白猫耳耳机"
3."军绿夹克搭配黑短裤"
4."手握巨大黑卡蒂反器材狙击枪"</x:v>
      </x:c>
      <x:c r="F136" s="8" t="str">
        <x:v>按顺序核对：
1."水蓝色短发两颊垂下一缕长发"
2."蓝绿瞳孔且头戴白猫耳耳机"
3."军绿夹克搭配黑短裤"
4."手握巨大黑卡蒂反器材狙击枪"
再查“混没混”：特征串位、颜色污染、左右镜像、结构穿模 → 直接判错。
核心考点：超大型写实军械金属光泽曲面与人类纤细肢体在持握时的巨大比例反差和骨骼遮挡物理光影计算。
任一红线触发 → 判错。</x:v>
      </x:c>
      <x:c r="G136" s="8" t="str"/>
    </x:row>
    <x:row r="137" ht="88" customHeight="1">
      <x:c r="A137" s="14" t="n">
        <x:v>136</x:v>
      </x:c>
      <x:c r="B137" s="18" t="str">
        <x:v>Tier 2</x:v>
      </x:c>
      <x:c r="C137" s="8" t="str">
        <x:v>爱德华·艾尔利克</x:v>
      </x:c>
      <x:c r="D137" s="8" t="str">
        <x:v>钢之炼金术师</x:v>
      </x:c>
      <x:c r="E137" s="8" t="str">
        <x:v>1."金色单麻花辫"
2."右臂为金属机械铠"
3."红色长风衣背部有炼金符号"
4."身材矮小"</x:v>
      </x:c>
      <x:c r="F137" s="8" t="str">
        <x:v>按顺序核对：
1."金色单麻花辫"
2."右臂为金属机械铠"
3."红色长风衣背部有炼金符号"
4."身材矮小"
再查“混没混”：特征串位、颜色污染、左右镜像、结构穿模 → 直接判错。
核心考点：作为验证模型解决复杂材质不对称性的基准重测，参照Tier 1分析。
任一红线触发 → 判错。</x:v>
      </x:c>
      <x:c r="G137" s="8" t="str"/>
    </x:row>
    <x:row r="138" ht="88" customHeight="1">
      <x:c r="A138" s="14" t="n">
        <x:v>137</x:v>
      </x:c>
      <x:c r="B138" s="18" t="str">
        <x:v>Tier 2</x:v>
      </x:c>
      <x:c r="C138" s="8" t="str">
        <x:v>冯·霍恩海姆(VanHohenheim)</x:v>
      </x:c>
      <x:c r="D138" s="8" t="str">
        <x:v>钢之炼金术师</x:v>
      </x:c>
      <x:c r="E138" s="8" t="str">
        <x:v>1."金黄长发绑低马尾"
2."下巴留金山羊胡"
3."戴圆形无框眼镜"
4."深马甲配棕色长款大衣"</x:v>
      </x:c>
      <x:c r="F138" s="8" t="str">
        <x:v>按顺序核对：
1."金黄长发绑低马尾"
2."下巴留金山羊胡"
3."戴圆形无框眼镜"
4."深马甲配棕色长款大衣"
再查“混没混”：特征串位、颜色污染、左右镜像、结构穿模 → 直接判错。
核心考点：面部同时存在眼镜和山羊胡以及碎发等多元素的复杂特征结构，防互相纠缠融合产生面庞几何畸变。
任一红线触发 → 判错。</x:v>
      </x:c>
      <x:c r="G138" s="8" t="str"/>
    </x:row>
    <x:row r="139" ht="88" customHeight="1">
      <x:c r="A139" s="14" t="n">
        <x:v>138</x:v>
      </x:c>
      <x:c r="B139" s="18" t="str">
        <x:v>Tier 2</x:v>
      </x:c>
      <x:c r="C139" s="8" t="str">
        <x:v>夜斗 (Yato)</x:v>
      </x:c>
      <x:c r="D139" s="8" t="str">
        <x:v>野良神</x:v>
      </x:c>
      <x:c r="E139" s="8" t="str">
        <x:v>1."深紫蓝微翘短发"
2."冰蓝猫样双瞳"
3."带白领口纹路黑旧运动服"
4."脖子死死系着白旧毛巾"</x:v>
      </x:c>
      <x:c r="F139" s="8" t="str">
        <x:v>按顺序核对：
1."深紫蓝微翘短发"
2."冰蓝猫样双瞳"
3."带白领口纹路黑旧运动服"
4."脖子死死系着白旧毛巾"
再查“混没混”：特征串位、颜色污染、左右镜像、结构穿模 → 直接判错。
核心考点：在暗色系服装环境下准确描绘极高明度冷色调高光眼瞳的渲染隔离与光晕映射。
任一红线触发 → 判错。</x:v>
      </x:c>
      <x:c r="G139" s="8" t="str"/>
    </x:row>
    <x:row r="140" ht="88" customHeight="1">
      <x:c r="A140" s="14" t="n">
        <x:v>139</x:v>
      </x:c>
      <x:c r="B140" s="18" t="str">
        <x:v>Tier 2</x:v>
      </x:c>
      <x:c r="C140" s="8" t="str">
        <x:v>坂本 (Sakamoto)</x:v>
      </x:c>
      <x:c r="D140" s="8" t="str">
        <x:v>在下坂本，有何贵干？</x:v>
      </x:c>
      <x:c r="E140" s="8" t="str">
        <x:v>1."纯黑顺滑三七分短发"
2."戴黑框智能眼镜"
3."右眼下有泪痣"
4."合身黑长袖学生制服"</x:v>
      </x:c>
      <x:c r="F140" s="8" t="str">
        <x:v>按顺序核对：
1."纯黑顺滑三七分短发"
2."戴黑框智能眼镜"
3."右眼下有泪痣"
4."合身黑长袖学生制服"
再查“混没混”：特征串位、颜色污染、左右镜像、结构穿模 → 直接判错。
核心考点：极简黑色衣服布料极清晰折痕与人物做出极度优雅却严重违背物理重力反动态姿势的动量结合。
任一红线触发 → 判错。</x:v>
      </x:c>
      <x:c r="G140" s="8" t="str"/>
    </x:row>
    <x:row r="141" ht="88" customHeight="1">
      <x:c r="A141" s="14" t="n">
        <x:v>140</x:v>
      </x:c>
      <x:c r="B141" s="18" t="str">
        <x:v>Tier 2</x:v>
      </x:c>
      <x:c r="C141" s="8" t="str">
        <x:v>司波达也(Tatsuya Shiba)</x:v>
      </x:c>
      <x:c r="D141" s="8" t="str">
        <x:v>魔法科高中的劣等生</x:v>
      </x:c>
      <x:c r="E141" s="8" t="str">
        <x:v>1."黑色中分中短发"
2."无神冷峻眼神"
3."国立魔法大学附属第一高中制服"
4."制服领口配有八芒星徽章"</x:v>
      </x:c>
      <x:c r="F141" s="8" t="str">
        <x:v>按顺序核对：
1."黑色中分中短发"
2."无神冷峻眼神"
3."国立魔法大学附属第一高中制服"
4."制服领口配有八芒星徽章"
再查“混没混”：特征串位、颜色污染、左右镜像、结构穿模 → 直接判错。
核心考点：极其严谨平整高校制服上的极微小复杂特定几何形状徽章（八芒星叶片）高精度不形变生成。
任一红线触发 → 判错。</x:v>
      </x:c>
      <x:c r="G141" s="8" t="str"/>
    </x:row>
    <x:row r="142" ht="88" customHeight="1">
      <x:c r="A142" s="14" t="n">
        <x:v>141</x:v>
      </x:c>
      <x:c r="B142" s="24" t="str">
        <x:v>Tier 3</x:v>
      </x:c>
      <x:c r="C142" s="8" t="str">
        <x:v>艾达 (Eida)</x:v>
      </x:c>
      <x:c r="D142" s="8" t="str">
        <x:v>博人传</x:v>
      </x:c>
      <x:c r="E142" s="8" t="str">
        <x:v>1."半月状星眼瞳孔"
2."外浅内亮长发"
3."露脐装短裙"</x:v>
      </x:c>
      <x:c r="F142" s="8" t="str">
        <x:v>按顺序核对：
1."半月状星眼瞳孔"
2."外浅内亮长发"
3."露脐装短裙"
再查“准不准”：模型是否被大众脸/大众画风拉回平均值 → 标志性特征走样或退化即判错。
核心考点：2024新概念眼部变异（星眼）的强记忆提取与时尚元素重组。
任一红线触发 → 判错。</x:v>
      </x:c>
      <x:c r="G142" s="8" t="str"/>
    </x:row>
    <x:row r="143" ht="88" customHeight="1">
      <x:c r="A143" s="14" t="n">
        <x:v>142</x:v>
      </x:c>
      <x:c r="B143" s="24" t="str">
        <x:v>Tier 3</x:v>
      </x:c>
      <x:c r="C143" s="8" t="str">
        <x:v>迪蒙 (Daemon)</x:v>
      </x:c>
      <x:c r="D143" s="8" t="str">
        <x:v>博人传</x:v>
      </x:c>
      <x:c r="E143" s="8" t="str">
        <x:v>1."半月相几何瞳孔"
2."浅色带高光短发"
3."宽大连帽卫衣"</x:v>
      </x:c>
      <x:c r="F143" s="8" t="str">
        <x:v>按顺序核对：
1."半月相几何瞳孔"
2."浅色带高光短发"
3."宽大连帽卫衣"
再查“准不准”：模型是否被大众脸/大众画风拉回平均值 → 标志性特征走样或退化即判错。
核心考点：童星角色年龄感控制与特殊半月状虹膜结构的细粒度生成防修饰。
任一红线触发 → 判错。</x:v>
      </x:c>
      <x:c r="G143" s="8" t="str"/>
    </x:row>
    <x:row r="144" ht="88" customHeight="1">
      <x:c r="A144" s="14" t="n">
        <x:v>143</x:v>
      </x:c>
      <x:c r="B144" s="24" t="str">
        <x:v>Tier 3</x:v>
      </x:c>
      <x:c r="C144" s="8" t="str">
        <x:v>猫猫 (Maomao)</x:v>
      </x:c>
      <x:c r="D144" s="8" t="str">
        <x:v>药屋少女的呢喃</x:v>
      </x:c>
      <x:c r="E144" s="8" t="str">
        <x:v>1."深绿中长发侧绑小辫"
2."紫蓝双瞳"
3."面部雀斑"
4."朴素药师襦裙"</x:v>
      </x:c>
      <x:c r="F144" s="8" t="str">
        <x:v>按顺序核对：
1."深绿中长发侧绑小辫"
2."紫蓝双瞳"
3."面部雀斑"
4."朴素药师襦裙"
再查“准不准”：模型是否被大众脸/大众画风拉回平均值 → 标志性特征走样或退化即判错。
核心考点：面部瑕疵（雀斑）的刻意保留与特定中式服装结构的高清生成。
任一红线触发 → 判错。</x:v>
      </x:c>
      <x:c r="G144" s="8" t="str"/>
    </x:row>
    <x:row r="145" ht="88" customHeight="1">
      <x:c r="A145" s="14" t="n">
        <x:v>144</x:v>
      </x:c>
      <x:c r="B145" s="24" t="str">
        <x:v>Tier 3</x:v>
      </x:c>
      <x:c r="C145" s="8" t="str">
        <x:v>壬氏 (Jinshi)</x:v>
      </x:c>
      <x:c r="D145" s="8" t="str">
        <x:v>药屋少女的呢喃</x:v>
      </x:c>
      <x:c r="E145" s="8" t="str">
        <x:v>1."绝世美貌"
2."深紫顺滑长发"
3."金丝花纹紫长袍"</x:v>
      </x:c>
      <x:c r="F145" s="8" t="str">
        <x:v>按顺序核对：
1."绝世美貌"
2."深紫顺滑长发"
3."金丝花纹紫长袍"
再查“准不准”：模型是否被大众脸/大众画风拉回平均值 → 标志性特征走样或退化即判错。
核心考点：跨性别面部美学融合测试（男骨相叠加极致阴柔），防性别判别器溢出崩溃。
任一红线触发 → 判错。</x:v>
      </x:c>
      <x:c r="G145" s="8" t="str"/>
    </x:row>
    <x:row r="146" ht="88" customHeight="1">
      <x:c r="A146" s="20" t="n">
        <x:v>145</x:v>
      </x:c>
      <x:c r="B146" s="24" t="str">
        <x:v>Tier 3</x:v>
      </x:c>
      <x:c r="C146" s="19" t="str">
        <x:v>芙莉莲 (Frieren)</x:v>
      </x:c>
      <x:c r="D146" s="19" t="str">
        <x:v>葬送的芙莉莲</x:v>
      </x:c>
      <x:c r="E146" s="19" t="str">
        <x:v>1.白色极长双马尾
2.精灵长耳
3.佩戴耳环
4.白色系法师长袍</x:v>
      </x:c>
      <x:c r="F146" s="19" t="str">
        <x:v>按顺序核对：
1.白色极长双马尾
2.精灵长耳
3.佩戴耳环
4.白色系法师长袍
再查“准不准”：模型是否被大众脸/大众画风拉回平均值 → 标志性特征走样或退化即判错。
核心考点：标志性长尾精灵耳与极长双马尾的空间重叠度计算，耳环微光透射。
任一红线触发 → 判错。</x:v>
      </x:c>
      <x:c r="G146" s="19" t="str">
        <x:v>已修复（依据评估目标推断，请对照原设定/原图确认后使用）</x:v>
      </x:c>
    </x:row>
    <x:row r="147" ht="88" customHeight="1">
      <x:c r="A147" s="14" t="n">
        <x:v>146</x:v>
      </x:c>
      <x:c r="B147" s="24" t="str">
        <x:v>Tier 3</x:v>
      </x:c>
      <x:c r="C147" s="8" t="str">
        <x:v>菲伦 (Fern)</x:v>
      </x:c>
      <x:c r="D147" s="8" t="str">
        <x:v>葬送的芙莉莲</x:v>
      </x:c>
      <x:c r="E147" s="8" t="str">
        <x:v>1."深紫齐刘海长直发"
2."包子脸"
3."白底高领法师袍"
4."发光水晶黑法杖"</x:v>
      </x:c>
      <x:c r="F147" s="8" t="str">
        <x:v>按顺序核对：
1."深紫齐刘海长直发"
2."包子脸"
3."白底高领法师袍"
4."发光水晶黑法杖"
再查“准不准”：模型是否被大众脸/大众画风拉回平均值 → 标志性特征走样或退化即判错。
核心考点：极度宽大的法师袍体积感暗示，对特定单一色调（紫发紫瞳）的色彩溢出保护。
任一红线触发 → 判错。</x:v>
      </x:c>
      <x:c r="G147" s="8" t="str"/>
    </x:row>
    <x:row r="148" ht="88" customHeight="1">
      <x:c r="A148" s="14" t="n">
        <x:v>147</x:v>
      </x:c>
      <x:c r="B148" s="24" t="str">
        <x:v>Tier 3</x:v>
      </x:c>
      <x:c r="C148" s="8" t="str">
        <x:v>休塔尔克 (Stark)</x:v>
      </x:c>
      <x:c r="D148" s="8" t="str">
        <x:v>葬送的芙莉莲</x:v>
      </x:c>
      <x:c r="E148" s="8" t="str">
        <x:v>1."深红短发带白刘海"
2."左眼下疤痕"
3."黑外套灰白毛领"
4."背负银色巨斧"</x:v>
      </x:c>
      <x:c r="F148" s="8" t="str">
        <x:v>按顺序核对：
1."深红短发带白刘海"
2."左眼下疤痕"
3."黑外套灰白毛领"
4."背负银色巨斧"
再查“准不准”：模型是否被大众脸/大众画风拉回平均值 → 标志性特征走样或退化即判错。
核心考点：单束绝对异色极其突兀的白刘海在红发环境中的绝对像素位置固定防同化。
任一红线触发 → 判错。</x:v>
      </x:c>
      <x:c r="G148" s="8" t="str"/>
    </x:row>
    <x:row r="149" ht="88" customHeight="1">
      <x:c r="A149" s="14" t="n">
        <x:v>148</x:v>
      </x:c>
      <x:c r="B149" s="24" t="str">
        <x:v>Tier 3</x:v>
      </x:c>
      <x:c r="C149" s="8" t="str">
        <x:v>辛美尔 (Himmel)</x:v>
      </x:c>
      <x:c r="D149" s="8" t="str">
        <x:v>葬送的芙莉莲</x:v>
      </x:c>
      <x:c r="E149" s="8" t="str">
        <x:v>1."天蓝清爽短发"
2."右眼下泪痣"
3."白底蓝边勇者披风"</x:v>
      </x:c>
      <x:c r="F149" s="8" t="str">
        <x:v>按顺序核对：
1."天蓝清爽短发"
2."右眼下泪痣"
3."白底蓝边勇者披风"
再查“准不准”：模型是否被大众脸/大众画风拉回平均值 → 标志性特征走样或退化即判错。
核心考点：浅蓝配色下的人类五官光影，避免泛化为泛滥的初音系蓝发角色模板。
任一红线触发 → 判错。</x:v>
      </x:c>
      <x:c r="G149" s="8" t="str"/>
    </x:row>
    <x:row r="150" ht="88" customHeight="1">
      <x:c r="A150" s="14" t="n">
        <x:v>149</x:v>
      </x:c>
      <x:c r="B150" s="24" t="str">
        <x:v>Tier 3</x:v>
      </x:c>
      <x:c r="C150" s="8" t="str">
        <x:v>绫濑桃 (MomoAyase)</x:v>
      </x:c>
      <x:c r="D150" s="8" t="str">
        <x:v>胆大党</x:v>
      </x:c>
      <x:c r="E150" s="8" t="str">
        <x:v>1."黑短发粉红挑染"
2."夸张大耳环"
3."涉谷太妹装扮"</x:v>
      </x:c>
      <x:c r="F150" s="8" t="str">
        <x:v>按顺序核对：
1."黑短发粉红挑染"
2."夸张大耳环"
3."涉谷太妹装扮"
再查“准不准”：模型是否被大众脸/大众画风拉回平均值 → 标志性特征走样或退化即判错。
核心考点：前卫涉谷系妆造元素（辣妹风）高频提取，巨大耳环在大幅度动态下不产生面部畸变。
任一红线触发 → 判错。</x:v>
      </x:c>
      <x:c r="G150" s="8" t="str"/>
    </x:row>
    <x:row r="151" ht="88" customHeight="1">
      <x:c r="A151" s="14" t="n">
        <x:v>150</x:v>
      </x:c>
      <x:c r="B151" s="24" t="str">
        <x:v>Tier 3</x:v>
      </x:c>
      <x:c r="C151" s="8" t="str">
        <x:v>厄卡伦 (Okarun)</x:v>
      </x:c>
      <x:c r="D151" s="8" t="str">
        <x:v>胆大党</x:v>
      </x:c>
      <x:c r="E151" s="8" t="str">
        <x:v>1."厚重黑框眼镜"
2."遮眼杂乱黑发"
3."变身后白发黑白面具"</x:v>
      </x:c>
      <x:c r="F151" s="8" t="str">
        <x:v>按顺序核对：
1."厚重黑框眼镜"
2."遮眼杂乱黑发"
3."变身后白发黑白面具"
再查“准不准”：模型是否被大众脸/大众画风拉回平均值 → 标志性特征走样或退化即判错。
核心考点：极客颓废风与变身状态下半脸面具特征的高反差冲突，考察多状态复合人设边界。
任一红线触发 → 判错。</x:v>
      </x:c>
      <x:c r="G151" s="8" t="str"/>
    </x:row>
    <x:row r="152" ht="88" customHeight="1">
      <x:c r="A152" s="14" t="n">
        <x:v>151</x:v>
      </x:c>
      <x:c r="B152" s="24" t="str">
        <x:v>Tier 3</x:v>
      </x:c>
      <x:c r="C152" s="8" t="str">
        <x:v>高仓健 (Jiji)</x:v>
      </x:c>
      <x:c r="D152" s="8" t="str">
        <x:v>胆大党</x:v>
      </x:c>
      <x:c r="E152" s="8" t="str">
        <x:v>1."阳光高大帅哥"
2."黑短发微黑皮肤"
3."变身后全白眼"</x:v>
      </x:c>
      <x:c r="F152" s="8" t="str">
        <x:v>按顺序核对：
1."阳光高大帅哥"
2."黑短发微黑皮肤"
3."变身后全白眼"
再查“准不准”：模型是否被大众脸/大众画风拉回平均值 → 标志性特征走样或退化即判错。
核心考点：同角色两种完全对立气场（极度阳光与极度邪恶全白眼）解耦，防白内障幻觉。
任一红线触发 → 判错。</x:v>
      </x:c>
      <x:c r="G152" s="8" t="str"/>
    </x:row>
    <x:row r="153" ht="88" customHeight="1">
      <x:c r="A153" s="14" t="n">
        <x:v>152</x:v>
      </x:c>
      <x:c r="B153" s="24" t="str">
        <x:v>Tier 3</x:v>
      </x:c>
      <x:c r="C153" s="8" t="str">
        <x:v>赛伯星人(Serpoians)</x:v>
      </x:c>
      <x:c r="D153" s="8" t="str">
        <x:v>胆大党</x:v>
      </x:c>
      <x:c r="E153" s="8" t="str">
        <x:v>1."灰白硅胶质感皮肤"
2."巨大无瞳倒梯形眼"
3."黑白相间紧身服"</x:v>
      </x:c>
      <x:c r="F153" s="8" t="str">
        <x:v>按顺序核对：
1."灰白硅胶质感皮肤"
2."巨大无瞳倒梯形眼"
3."黑白相间紧身服"
再查“准不准”：模型是否被大众脸/大众画风拉回平均值 → 标志性特征走样或退化即判错。
核心考点：异形生物特殊的复古好莱坞外星人特征与现代日漫审美的高难度非线性缝合。
任一红线触发 → 判错。</x:v>
      </x:c>
      <x:c r="G153" s="8" t="str"/>
    </x:row>
    <x:row r="154" ht="88" customHeight="1">
      <x:c r="A154" s="14" t="n">
        <x:v>153</x:v>
      </x:c>
      <x:c r="B154" s="24" t="str">
        <x:v>Tier 3</x:v>
      </x:c>
      <x:c r="C154" s="8" t="str">
        <x:v>成振宇 (SungJinwoo)</x:v>
      </x:c>
      <x:c r="D154" s="8" t="str">
        <x:v>我独自升级</x:v>
      </x:c>
      <x:c r="E154" s="8" t="str">
        <x:v>1."纯黑凌乱碎短发"
2."眼泛蓝紫光芒"
3."纯黑长风衣"
4."黑紫暗影粒子特效"</x:v>
      </x:c>
      <x:c r="F154" s="8" t="str">
        <x:v>按顺序核对：
1."纯黑凌乱碎短发"
2."眼泛蓝紫光芒"
3."纯黑长风衣"
4."黑紫暗影粒子特效"
再查“准不准”：模型是否被大众脸/大众画风拉回平均值 → 标志性特征走样或退化即判错。
核心考点：韩系条漫独特锋利的画风提取，高亮黑紫粒子特效包围下的人体轮廓防吞噬。
任一红线触发 → 判错。</x:v>
      </x:c>
      <x:c r="G154" s="8" t="str"/>
    </x:row>
    <x:row r="155" ht="88" customHeight="1">
      <x:c r="A155" s="14" t="n">
        <x:v>154</x:v>
      </x:c>
      <x:c r="B155" s="24" t="str">
        <x:v>Tier 3</x:v>
      </x:c>
      <x:c r="C155" s="8" t="str">
        <x:v>车海印 (ChaHae-In)</x:v>
      </x:c>
      <x:c r="D155" s="8" t="str">
        <x:v>我独自升级</x:v>
      </x:c>
      <x:c r="E155" s="8" t="str">
        <x:v>1."浅金波波头"
2."冷峻红棕瞳"
3."带金属护甲贴身铠甲"</x:v>
      </x:c>
      <x:c r="F155" s="8" t="str">
        <x:v>按顺序核对：
1."浅金波波头"
2."冷峻红棕瞳"
3."带金属护甲贴身铠甲"
再查“准不准”：模型是否被大众脸/大众画风拉回平均值 → 标志性特征走样或退化即判错。
核心考点：女性极致紧实核心肌群体态张力表现，修长冷硬铠甲四肢在大幅度动作时的透视收缩。
任一红线触发 → 判错。</x:v>
      </x:c>
      <x:c r="G155" s="8" t="str"/>
    </x:row>
    <x:row r="156" ht="88" customHeight="1">
      <x:c r="A156" s="14" t="n">
        <x:v>155</x:v>
      </x:c>
      <x:c r="B156" s="24" t="str">
        <x:v>Tier 3</x:v>
      </x:c>
      <x:c r="C156" s="8" t="str">
        <x:v>可可 (Coco)</x:v>
      </x:c>
      <x:c r="D156" s="8" t="str">
        <x:v>尖帽子的魔法工房</x:v>
      </x:c>
      <x:c r="E156" s="8" t="str">
        <x:v>1."浅金波浪披肩发"
2."尖端折叠宽沿巫师帽"
3."深蓝斗篷制服"</x:v>
      </x:c>
      <x:c r="F156" s="8" t="str">
        <x:v>按顺序核对：
1."浅金波浪披肩发"
2."尖端折叠宽沿巫师帽"
3."深蓝斗篷制服"
再查“准不准”：模型是否被大众脸/大众画风拉回平均值 → 标志性特征走样或退化即判错。
核心考点：极度复杂的欧洲古典插画风格笔触复刻，大型折叠巫师帽在不同视角的复杂物理结构。
任一红线触发 → 判错。</x:v>
      </x:c>
      <x:c r="G156" s="8" t="str"/>
    </x:row>
    <x:row r="157" ht="88" customHeight="1">
      <x:c r="A157" s="14" t="n">
        <x:v>156</x:v>
      </x:c>
      <x:c r="B157" s="24" t="str">
        <x:v>Tier 3</x:v>
      </x:c>
      <x:c r="C157" s="8" t="str">
        <x:v>奇弗雷 (Qifrey)</x:v>
      </x:c>
      <x:c r="D157" s="8" t="str">
        <x:v>尖帽子的魔法工房</x:v>
      </x:c>
      <x:c r="E157" s="8" t="str">
        <x:v>1."银长发单侧遮眼"
2."左眼单片眼镜"
3."高领深蓝法师袍"</x:v>
      </x:c>
      <x:c r="F157" s="8" t="str">
        <x:v>按顺序核对：
1."银长发单侧遮眼"
2."左眼单片眼镜"
3."高领深蓝法师袍"
再查“准不准”：模型是否被大众脸/大众画风拉回平均值 → 标志性特征走样或退化即判错。
核心考点：单侧严重刘海遮眼与另一侧单片眼镜同时存在的非对称空间复杂结构组合。
任一红线触发 → 判错。</x:v>
      </x:c>
      <x:c r="G157" s="8" t="str"/>
    </x:row>
    <x:row r="158" ht="88" customHeight="1">
      <x:c r="A158" s="14" t="n">
        <x:v>157</x:v>
      </x:c>
      <x:c r="B158" s="24" t="str">
        <x:v>Tier 3</x:v>
      </x:c>
      <x:c r="C158" s="8" t="str">
        <x:v>路德 (Rudo)</x:v>
      </x:c>
      <x:c r="D158" s="8" t="str">
        <x:v>废渊战鬼</x:v>
      </x:c>
      <x:c r="E158" s="8" t="str">
        <x:v>1."狂野污渍杂乱短发"
2."左脸黑斑污垢"
3."带护目镜防毒面具"
4."巨型金属手套"</x:v>
      </x:c>
      <x:c r="F158" s="8" t="str">
        <x:v>按顺序核对：
1."狂野污渍杂乱短发"
2."左脸黑斑污垢"
3."带护目镜防毒面具"
4."巨型金属手套"
再查“准不准”：模型是否被大众脸/大众画风拉回平均值 → 标志性特征走样或退化即判错。
核心考点：极重废土工业涂鸦画风，防毒面具极细微的机械纹理与面部皮肤的高融合。
任一红线触发 → 判错。</x:v>
      </x:c>
      <x:c r="G158" s="8" t="str"/>
    </x:row>
    <x:row r="159" ht="88" customHeight="1">
      <x:c r="A159" s="14" t="n">
        <x:v>158</x:v>
      </x:c>
      <x:c r="B159" s="24" t="str">
        <x:v>Tier 3</x:v>
      </x:c>
      <x:c r="C159" s="8" t="str">
        <x:v>坂本太郎 (TaroSakamoto)</x:v>
      </x:c>
      <x:c r="D159" s="8" t="str">
        <x:v>坂本日常</x:v>
      </x:c>
      <x:c r="E159" s="8" t="str">
        <x:v>1."圆润肥胖身材"
2."两撇黑小胡子与细框圆眼镜"
3."红短袖配白围裙"</x:v>
      </x:c>
      <x:c r="F159" s="8" t="str">
        <x:v>按顺序核对：
1."圆润肥胖身材"
2."两撇黑小胡子与细框圆眼镜"
3."红短袖配白围裙"
再查“准不准”：模型是否被大众脸/大众画风拉回平均值 → 标志性特征走样或退化即判错。
核心考点：极胖体态产生敏捷动作的反差动力学表现，与面部线条极简化画风的强力结合。
任一红线触发 → 判错。</x:v>
      </x:c>
      <x:c r="G159" s="8" t="str"/>
    </x:row>
    <x:row r="160" ht="88" customHeight="1">
      <x:c r="A160" s="14" t="n">
        <x:v>159</x:v>
      </x:c>
      <x:c r="B160" s="24" t="str">
        <x:v>Tier 3</x:v>
      </x:c>
      <x:c r="C160" s="8" t="str">
        <x:v>朝仓新 (ShinAsakura)</x:v>
      </x:c>
      <x:c r="D160" s="8" t="str">
        <x:v>坂本日常</x:v>
      </x:c>
      <x:c r="E160" s="8" t="str">
        <x:v>1."淡金微卷中短发"
2."平整白衬衫黑领带"
3."太阳穴耳机设备"</x:v>
      </x:c>
      <x:c r="F160" s="8" t="str">
        <x:v>按顺序核对：
1."淡金微卷中短发"
2."平整白衬衫黑领带"
3."太阳穴耳机设备"
再查“准不准”：模型是否被大众脸/大众画风拉回平均值 → 标志性特征走样或退化即判错。
核心考点：标准现代便利店职员日常装扮与隐秘冷酷杀手特质结合，微型耳麦与头发的空间关系。
任一红线触发 → 判错。</x:v>
      </x:c>
      <x:c r="G160" s="8" t="str"/>
    </x:row>
    <x:row r="161" ht="88" customHeight="1">
      <x:c r="A161" s="14" t="n">
        <x:v>160</x:v>
      </x:c>
      <x:c r="B161" s="24" t="str">
        <x:v>Tier 3</x:v>
      </x:c>
      <x:c r="C161" s="8" t="str">
        <x:v>南云 (Nagumo)</x:v>
      </x:c>
      <x:c r="D161" s="8" t="str">
        <x:v>坂本日常</x:v>
      </x:c>
      <x:c r="E161" s="8" t="str">
        <x:v>1."黑凌乱碎发脑后小长辫"
2."大片黑刺青图案"
3."六形态巨型瑞士军刀"</x:v>
      </x:c>
      <x:c r="F161" s="8" t="str">
        <x:v>按顺序核对：
1."黑凌乱碎发脑后小长辫"
2."大片黑刺青图案"
3."六形态巨型瑞士军刀"
再查“准不准”：模型是否被大众脸/大众画风拉回平均值 → 标志性特征走样或退化即判错。
核心考点：颈部到面部的复杂刺青生成算法，防范黑色刺青图案向其白色衬衫衣物领口非法溢出。
任一红线触发 → 判错。</x:v>
      </x:c>
      <x:c r="G161" s="8" t="str"/>
    </x:row>
    <x:row r="162" ht="88" customHeight="1">
      <x:c r="A162" s="14" t="n">
        <x:v>161</x:v>
      </x:c>
      <x:c r="B162" s="24" t="str">
        <x:v>Tier 3</x:v>
      </x:c>
      <x:c r="C162" s="8" t="str">
        <x:v>六平千寻(ChihiroRokuhira)</x:v>
      </x:c>
      <x:c r="D162" s="8" t="str">
        <x:v>神乐钵</x:v>
      </x:c>
      <x:c r="E162" s="8" t="str">
        <x:v>1."死鱼眼"
2."左脸横向深伤疤"
3."纯黑宽大日式长风衣"
4."散发金鱼水流特效的武士刀"</x:v>
      </x:c>
      <x:c r="F162" s="8" t="str">
        <x:v>按顺序核对：
1."死鱼眼"
2."左脸横向深伤疤"
3."纯黑宽大日式长风衣"
4."散发金鱼水流特效的武士刀"
再查“准不准”：模型是否被大众脸/大众画风拉回平均值 → 标志性特征走样或退化即判错。
核心考点：刀身周围高度透明折射水流与实体发光金鱼共生特效的液体渲染极严苛测试极限。
任一红线触发 → 判错。</x:v>
      </x:c>
      <x:c r="G162" s="8" t="str"/>
    </x:row>
    <x:row r="163" ht="88" customHeight="1">
      <x:c r="A163" s="14" t="n">
        <x:v>162</x:v>
      </x:c>
      <x:c r="B163" s="24" t="str">
        <x:v>Tier 3</x:v>
      </x:c>
      <x:c r="C163" s="8" t="str">
        <x:v>猪股大喜 (TaikiInomata)</x:v>
      </x:c>
      <x:c r="D163" s="8" t="str">
        <x:v>青春之箱</x:v>
      </x:c>
      <x:c r="E163" s="8" t="str">
        <x:v>1."清爽短发"
2."荣明高中白底羽毛球服"
3."蓝白羽毛球拍"</x:v>
      </x:c>
      <x:c r="F163" s="8" t="str">
        <x:v>按顺序核对：
1."清爽短发"
2."荣明高中白底羽毛球服"
3."蓝白羽毛球拍"
再查“准不准”：模型是否被大众脸/大众画风拉回平均值 → 标志性特征走样或退化即判错。
核心考点：极限测试模型在极度缺乏夸张特征下，仅仅靠细微运动元素进行主角区分的能力。
任一红线触发 → 判错。</x:v>
      </x:c>
      <x:c r="G163" s="8" t="str"/>
    </x:row>
    <x:row r="164" ht="88" customHeight="1">
      <x:c r="A164" s="14" t="n">
        <x:v>163</x:v>
      </x:c>
      <x:c r="B164" s="24" t="str">
        <x:v>Tier 3</x:v>
      </x:c>
      <x:c r="C164" s="8" t="str">
        <x:v>鹿野千夏(Chinatsu Kano)</x:v>
      </x:c>
      <x:c r="D164" s="8" t="str">
        <x:v>青春之箱</x:v>
      </x:c>
      <x:c r="E164" s="8" t="str">
        <x:v>1."黑过肩柔顺直发"
2."白底篮球服"
3."写实比例橘色篮球"</x:v>
      </x:c>
      <x:c r="F164" s="8" t="str">
        <x:v>按顺序核对：
1."黑过肩柔顺直发"
2."白底篮球服"
3."写实比例橘色篮球"
再查“准不准”：模型是否被大众脸/大众画风拉回平均值 → 标志性特征走样或退化即判错。
核心考点：极其纯净画风的面部微表情肌肉控制，写实级篮球粗糙表面颗粒与球衣纹理。
任一红线触发 → 判错。</x:v>
      </x:c>
      <x:c r="G164" s="8" t="str"/>
    </x:row>
    <x:row r="165" ht="88" customHeight="1">
      <x:c r="A165" s="14" t="n">
        <x:v>164</x:v>
      </x:c>
      <x:c r="B165" s="24" t="str">
        <x:v>Tier 3</x:v>
      </x:c>
      <x:c r="C165" s="8" t="str">
        <x:v>蝶野雏 (HinaChono)</x:v>
      </x:c>
      <x:c r="D165" s="8" t="str">
        <x:v>青春之箱</x:v>
      </x:c>
      <x:c r="E165" s="8" t="str">
        <x:v>1."栗色灵动微卷短发"
2."艺术体操紧身服"
3."极长体操丝带"</x:v>
      </x:c>
      <x:c r="F165" s="8" t="str">
        <x:v>按顺序核对：
1."栗色灵动微卷短发"
2."艺术体操紧身服"
3."极长体操丝带"
再查“准不准”：模型是否被大众脸/大众画风拉回平均值 → 标志性特征走样或退化即判错。
核心考点：极长的体操丝带在人物身侧进行3D空间飘动时的复杂螺旋几何曲面极其精确解算测试。
任一红线触发 → 判错。</x:v>
      </x:c>
      <x:c r="G165" s="8" t="str"/>
    </x:row>
    <x:row r="166" ht="88" customHeight="1">
      <x:c r="A166" s="14" t="n">
        <x:v>165</x:v>
      </x:c>
      <x:c r="B166" s="24" t="str">
        <x:v>Tier 3</x:v>
      </x:c>
      <x:c r="C166" s="8" t="str">
        <x:v>银卡 (Ginka)</x:v>
      </x:c>
      <x:c r="D166" s="8" t="str">
        <x:v>银卡与古露娜</x:v>
      </x:c>
      <x:c r="E166" s="8" t="str">
        <x:v>1."雪人般圆润白色身体"
2."极简黑色圆眼"
3."黑色小高礼帽"</x:v>
      </x:c>
      <x:c r="F166" s="8" t="str">
        <x:v>按顺序核对：
1."雪人般圆润白色身体"
2."极简黑色圆眼"
3."黑色小高礼帽"
再查“准不准”：模型是否被大众脸/大众画风拉回平均值 → 标志性特征走样或退化即判错。
核心考点：纯粹白色几何圆球体构成的非人角色如何在高质量写实二次元画风背景中实现自然光影融合。
任一红线触发 → 判错。</x:v>
      </x:c>
      <x:c r="G166" s="8" t="str"/>
    </x:row>
    <x:row r="167" ht="88" customHeight="1">
      <x:c r="A167" s="14" t="n">
        <x:v>166</x:v>
      </x:c>
      <x:c r="B167" s="24" t="str">
        <x:v>Tier 3</x:v>
      </x:c>
      <x:c r="C167" s="8" t="str">
        <x:v>古露娜 (Glüna)</x:v>
      </x:c>
      <x:c r="D167" s="8" t="str">
        <x:v>银卡与古露娜</x:v>
      </x:c>
      <x:c r="E167" s="8" t="str">
        <x:v>1."银白微荧光蓬松长发"
2."深邃蓝双眼"
3."白毛绒边蓝大衣"</x:v>
      </x:c>
      <x:c r="F167" s="8" t="str">
        <x:v>按顺序核对：
1."银白微荧光蓬松长发"
2."深邃蓝双眼"
3."白毛绒边蓝大衣"
再查“准不准”：模型是否被大众脸/大众画风拉回平均值 → 标志性特征走样或退化即判错。
核心考点：长毛绒服饰边缘在魔法环境光源下的高质量物理漫反射光学追踪效果测试。
任一红线触发 → 判错。</x:v>
      </x:c>
      <x:c r="G167" s="8" t="str"/>
    </x:row>
    <x:row r="168" ht="88" customHeight="1">
      <x:c r="A168" s="14" t="n">
        <x:v>167</x:v>
      </x:c>
      <x:c r="B168" s="24" t="str">
        <x:v>Tier 3</x:v>
      </x:c>
      <x:c r="C168" s="8" t="str">
        <x:v>赤木茂 (AkagiShigeru)</x:v>
      </x:c>
      <x:c r="D168" s="8" t="str">
        <x:v>斗牌传说</x:v>
      </x:c>
      <x:c r="E168" s="8" t="str">
        <x:v>1."骨感锐利银大背头"
2."尖锥状下巴与大长鼻"
3."手捏麻将牌"</x:v>
      </x:c>
      <x:c r="F168" s="8" t="str">
        <x:v>按顺序核对：
1."骨感锐利银大背头"
2."尖锥状下巴与大长鼻"
3."手捏麻将牌"
再查“准不准”：模型是否被大众脸/大众画风拉回平均值 → 标志性特征走样或退化即判错。
核心考点：福本伸行极度夸张诡异线条画风提取，防模型基于“优美人脸先验”自动强制修正。
任一红线触发 → 判错。</x:v>
      </x:c>
      <x:c r="G168" s="8" t="str"/>
    </x:row>
    <x:row r="169" ht="88" customHeight="1">
      <x:c r="A169" s="14" t="n">
        <x:v>168</x:v>
      </x:c>
      <x:c r="B169" s="24" t="str">
        <x:v>Tier 3</x:v>
      </x:c>
      <x:c r="C169" s="8" t="str">
        <x:v>伊藤开司 (KaijiItou)</x:v>
      </x:c>
      <x:c r="D169" s="8" t="str">
        <x:v>赌博默示录</x:v>
      </x:c>
      <x:c r="E169" s="8" t="str">
        <x:v>1."黑杂乱中短发"
2."极长尖鼻与尖下巴"
3."左脸极长旧伤疤"</x:v>
      </x:c>
      <x:c r="F169" s="8" t="str">
        <x:v>按顺序核对：
1."黑杂乱中短发"
2."极长尖鼻与尖下巴"
3."左脸极长旧伤疤"
再查“准不准”：模型是否被大众脸/大众画风拉回平均值 → 标志性特征走样或退化即判错。
核心考点：面部超量汗液特效贴图密集生成与极端恐惧神态的扭曲画风还原控制。
任一红线触发 → 判错。</x:v>
      </x:c>
      <x:c r="G169" s="8" t="str"/>
    </x:row>
    <x:row r="170" ht="88" customHeight="1">
      <x:c r="A170" s="14" t="n">
        <x:v>169</x:v>
      </x:c>
      <x:c r="B170" s="24" t="str">
        <x:v>Tier 3</x:v>
      </x:c>
      <x:c r="C170" s="8" t="str">
        <x:v>马格纳 (MagnaSwing)</x:v>
      </x:c>
      <x:c r="D170" s="8" t="str">
        <x:v>黑色五叶草</x:v>
      </x:c>
      <x:c r="E170" s="8" t="str">
        <x:v>1."黑灰相间高耸飞机头"
2."圆形反光黑墨镜"
3."燃烧烈焰的棒球棒"</x:v>
      </x:c>
      <x:c r="F170" s="8" t="str">
        <x:v>按顺序核对：
1."黑灰相间高耸飞机头"
2."圆形反光黑墨镜"
3."燃烧烈焰的棒球棒"
再查“准不准”：模型是否被大众脸/大众画风拉回平均值 → 标志性特征走样或退化即判错。
核心考点：特异发型颜色的生硬非平滑分隔与特殊长方体发型结构，火焰对金属棒的附着效应。
任一红线触发 → 判错。</x:v>
      </x:c>
      <x:c r="G170" s="8" t="str"/>
    </x:row>
    <x:row r="171" ht="88" customHeight="1">
      <x:c r="A171" s="14" t="n">
        <x:v>170</x:v>
      </x:c>
      <x:c r="B171" s="24" t="str">
        <x:v>Tier 3</x:v>
      </x:c>
      <x:c r="C171" s="8" t="str">
        <x:v>佩可(Peco/Yutaka)</x:v>
      </x:c>
      <x:c r="D171" s="8" t="str">
        <x:v>乒乓</x:v>
      </x:c>
      <x:c r="E171" s="8" t="str">
        <x:v>1."狗啃极短碎发"
2."蓝白相间运动短袖"
3."手持乒乓球拍"</x:v>
      </x:c>
      <x:c r="F171" s="8" t="str">
        <x:v>按顺序核对：
1."狗啃极短碎发"
2."蓝白相间运动短袖"
3."手持乒乓球拍"
再查“准不准”：模型是否被大众脸/大众画风拉回平均值 → 标志性特征走样或退化即判错。
核心考点：汤浅政明强烈的超广角运动透视畸变与狂放手绘线条的完美模仿防AI柔化。
任一红线触发 → 判错。</x:v>
      </x:c>
      <x:c r="G171" s="8" t="str"/>
    </x:row>
    <x:row r="172" ht="88" customHeight="1">
      <x:c r="A172" s="14" t="n">
        <x:v>171</x:v>
      </x:c>
      <x:c r="B172" s="24" t="str">
        <x:v>Tier 3</x:v>
      </x:c>
      <x:c r="C172" s="8" t="str">
        <x:v>阿里巴巴(Alibaba Saluja)</x:v>
      </x:c>
      <x:c r="D172" s="8" t="str">
        <x:v>魔笛MAGI</x:v>
      </x:c>
      <x:c r="E172" s="8" t="str">
        <x:v>1."金黄高翘极长呆毛"
2."橙金色眼瞳"
3."白开襟上衣配宽灯笼裤"</x:v>
      </x:c>
      <x:c r="F172" s="8" t="str">
        <x:v>按顺序核对：
1."金黄高翘极长呆毛"
2."橙金色眼瞳"
3."白开襟上衣配宽灯笼裤"
再查“准不准”：模型是否被大众脸/大众画风拉回平均值 → 标志性特征走样或退化即判错。
核心考点：典型阿拉伯异域服饰（灯笼裤）的布料充盈体积感与单根呆毛违反重力的绝对长度控制。
任一红线触发 → 判错。</x:v>
      </x:c>
      <x:c r="G172" s="8" t="str"/>
    </x:row>
    <x:row r="173" ht="88" customHeight="1">
      <x:c r="A173" s="14" t="n">
        <x:v>172</x:v>
      </x:c>
      <x:c r="B173" s="24" t="str">
        <x:v>Tier 3</x:v>
      </x:c>
      <x:c r="C173" s="8" t="str">
        <x:v>卡塔莉娜(Katarina Claes)</x:v>
      </x:c>
      <x:c r="D173" s="8" t="str">
        <x:v>转生恶役千金</x:v>
      </x:c>
      <x:c r="E173" s="8" t="str">
        <x:v>1."棕大波浪浓密卷发"
2."蓝紫高傲上挑眼瞳"
3."巨型骨架裙撑中世纪长裙"</x:v>
      </x:c>
      <x:c r="F173" s="8" t="str">
        <x:v>按顺序核对：
1."棕大波浪浓密卷发"
2."蓝紫高傲上挑眼瞳"
3."巨型骨架裙撑中世纪长裙"
再查“准不准”：模型是否被大众脸/大众画风拉回平均值 → 标志性特征走样或退化即判错。
核心考点：中世纪极其繁复内部庞大裙撑透视与恶役特属的夸张毫无形象搞笑颜艺解耦。
任一红线触发 → 判错。</x:v>
      </x:c>
      <x:c r="G173" s="8" t="str"/>
    </x:row>
    <x:row r="174" ht="88" customHeight="1">
      <x:c r="A174" s="14" t="n">
        <x:v>173</x:v>
      </x:c>
      <x:c r="B174" s="24" t="str">
        <x:v>Tier 3</x:v>
      </x:c>
      <x:c r="C174" s="8" t="str">
        <x:v>亚连·沃克 (AllenWalker)</x:v>
      </x:c>
      <x:c r="D174" s="8" t="str">
        <x:v>驱魔少年</x:v>
      </x:c>
      <x:c r="E174" s="8" t="str">
        <x:v>1."银白齐颈短发"
2."左眼贯穿红色五角星疤痕"
3."巨大暗红利爪或机械臂"
4."十字金属扣修身制服"</x:v>
      </x:c>
      <x:c r="F174" s="8" t="str">
        <x:v>按顺序核对：
1."银白齐颈短发"
2."左眼贯穿红色五角星疤痕"
3."巨大暗红利爪或机械臂"
4."十字金属扣修身制服"
再查“准不准”：模型是否被大众脸/大众画风拉回平均值 → 标志性特征走样或退化即判错。
核心考点：面部极其精密的五角星红色组合伤疤在人物面部剧烈运动皮肤拉伸时的绝不形变要求。
任一红线触发 → 判错。</x:v>
      </x:c>
      <x:c r="G174" s="8" t="str"/>
    </x:row>
    <x:row r="175" ht="88" customHeight="1">
      <x:c r="A175" s="14" t="n">
        <x:v>174</x:v>
      </x:c>
      <x:c r="B175" s="24" t="str">
        <x:v>Tier 3</x:v>
      </x:c>
      <x:c r="C175" s="8" t="str">
        <x:v>神田优 (YuKanda)</x:v>
      </x:c>
      <x:c r="D175" s="8" t="str">
        <x:v>驱魔少年</x:v>
      </x:c>
      <x:c r="E175" s="8" t="str">
        <x:v>1."深蓝及腰高马尾"
2."银色十字绣线黑长风衣"
3."修长日本武士刀"</x:v>
      </x:c>
      <x:c r="F175" s="8" t="str">
        <x:v>按顺序核对：
1."深蓝及腰高马尾"
2."银色十字绣线黑长风衣"
3."修长日本武士刀"
再查“准不准”：模型是否被大众脸/大众画风拉回平均值 → 标志性特征走样或退化即判错。
核心考点：极长极重高马尾发丝的绝对垂坠感，与修长外套上极简高频十字绣纹理的光学映射。
任一红线触发 → 判错。</x:v>
      </x:c>
      <x:c r="G175" s="8" t="str"/>
    </x:row>
    <x:row r="176" ht="88" customHeight="1">
      <x:c r="A176" s="14" t="n">
        <x:v>175</x:v>
      </x:c>
      <x:c r="B176" s="24" t="str">
        <x:v>Tier 3</x:v>
      </x:c>
      <x:c r="C176" s="8" t="str">
        <x:v>夜一 (YoruichiShihouin)</x:v>
      </x:c>
      <x:c r="D176" s="8" t="str">
        <x:v>死神</x:v>
      </x:c>
      <x:c r="E176" s="8" t="str">
        <x:v>1."深紫高绑长发"
2."黑巧克力色健康肤色"
3."纯金猫眼"
4."亮橘露背上衣"</x:v>
      </x:c>
      <x:c r="F176" s="8" t="str">
        <x:v>按顺序核对：
1."深紫高绑长发"
2."黑巧克力色健康肤色"
3."纯金猫眼"
4."亮橘露背上衣"
再查“准不准”：模型是否被大众脸/大众画风拉回平均值 → 标志性特征走样或退化即判错。
核心考点：极深色暗系皮肤表面高光反射效果，与极深紫发极易融为一体时的撞色色域平衡。
任一红线触发 → 判错。</x:v>
      </x:c>
      <x:c r="G176" s="8" t="str"/>
    </x:row>
    <x:row r="177" ht="88" customHeight="1">
      <x:c r="A177" s="14" t="n">
        <x:v>176</x:v>
      </x:c>
      <x:c r="B177" s="24" t="str">
        <x:v>Tier 3</x:v>
      </x:c>
      <x:c r="C177" s="8" t="str">
        <x:v>浦原喜助(Kisuke Urahara)</x:v>
      </x:c>
      <x:c r="D177" s="8" t="str">
        <x:v>死神</x:v>
      </x:c>
      <x:c r="E177" s="8" t="str">
        <x:v>1."浅金杂乱短发遮眼"
2."绿白相间条纹老式渔夫帽"
3."宽大日式旧外衣"</x:v>
      </x:c>
      <x:c r="F177" s="8" t="str">
        <x:v>按顺序核对：
1."浅金杂乱短发遮眼"
2."绿白相间条纹老式渔夫帽"
3."宽大日式旧外衣"
再查“准不准”：模型是否被大众脸/大众画风拉回平均值 → 标志性特征走样或退化即判错。
核心考点：特定条纹交错圆顶宽檐帽的复杂几何纹路与曲面色彩在空间三维中交织产生的精密曲率分布。
任一红线触发 → 判错。</x:v>
      </x:c>
      <x:c r="G177" s="8" t="str"/>
    </x:row>
    <x:row r="178" ht="88" customHeight="1">
      <x:c r="A178" s="14" t="n">
        <x:v>177</x:v>
      </x:c>
      <x:c r="B178" s="24" t="str">
        <x:v>Tier 3</x:v>
      </x:c>
      <x:c r="C178" s="8" t="str">
        <x:v>市丸银 (GinIchimaru)</x:v>
      </x:c>
      <x:c r="D178" s="8" t="str">
        <x:v>死神</x:v>
      </x:c>
      <x:c r="E178" s="8" t="str">
        <x:v>1."浅紫微卷短发"
2."永远眯眼呈狐狸般微笑"
3."宽大白色死神队长羽织"</x:v>
      </x:c>
      <x:c r="F178" s="8" t="str">
        <x:v>按顺序核对：
1."浅紫微卷短发"
2."永远眯眼呈狐狸般微笑"
3."宽大白色死神队长羽织"
再查“准不准”：模型是否被大众脸/大众画风拉回平均值 → 标志性特征走样或退化即判错。
核心考点：在角色人物全程双眼极度紧密闭合的绝对极限状态下，凭微弱面部肌肉展现极度狡诈气场。
任一红线触发 → 判错。</x:v>
      </x:c>
      <x:c r="G178" s="8" t="str"/>
    </x:row>
    <x:row r="179" ht="88" customHeight="1">
      <x:c r="A179" s="14" t="n">
        <x:v>178</x:v>
      </x:c>
      <x:c r="B179" s="24" t="str">
        <x:v>Tier 3</x:v>
      </x:c>
      <x:c r="C179" s="8" t="str">
        <x:v>卯之花烈 (RetsuUnohana)</x:v>
      </x:c>
      <x:c r="D179" s="8" t="str">
        <x:v>死神</x:v>
      </x:c>
      <x:c r="E179" s="8" t="str">
        <x:v>1."黑长发垂于胸前编成粗麻花辫"
2."标准死霸装配白羽织"
3."温柔与杀气并存"</x:v>
      </x:c>
      <x:c r="F179" s="8" t="str">
        <x:v>按顺序核对：
1."黑长发垂于胸前编成粗麻花辫"
2."标准死霸装配白羽织"
3."温柔与杀气并存"
再查“准不准”：模型是否被大众脸/大众画风拉回平均值 → 标志性特征走样或退化即判错。
核心考点：前置于胸口中心的粗大沉重发辫在重力下拉扯产生的特殊物理放置遮挡逻辑。
任一红线触发 → 判错。</x:v>
      </x:c>
      <x:c r="G179" s="8" t="str"/>
    </x:row>
    <x:row r="180" ht="88" customHeight="1">
      <x:c r="A180" s="14" t="n">
        <x:v>179</x:v>
      </x:c>
      <x:c r="B180" s="24" t="str">
        <x:v>Tier 3</x:v>
      </x:c>
      <x:c r="C180" s="8" t="str">
        <x:v>尼可 (NicoVorgeil)</x:v>
      </x:c>
      <x:c r="D180" s="8" t="str">
        <x:v>不死不幸</x:v>
      </x:c>
      <x:c r="E180" s="8" t="str">
        <x:v>1."黑白相间参差短发"
2."漂浮多个黑色球状微型装置"
3."极厚重反光圆眼镜"</x:v>
      </x:c>
      <x:c r="F180" s="8" t="str">
        <x:v>按顺序核对：
1."黑白相间参差短发"
2."漂浮多个黑色球状微型装置"
3."极厚重反光圆眼镜"
再查“准不准”：模型是否被大众脸/大众画风拉回平均值 → 标志性特征走样或退化即判错。
核心考点：头部突兀悬浮极小机械球形装置的物理表面吸附效果，严防模型误认为或生成为肉瘤变异。
任一红线触发 → 判错。</x:v>
      </x:c>
      <x:c r="G180" s="8" t="str"/>
    </x:row>
    <x:row r="181" ht="88" customHeight="1">
      <x:c r="A181" s="14" t="n">
        <x:v>180</x:v>
      </x:c>
      <x:c r="B181" s="24" t="str">
        <x:v>Tier 3</x:v>
      </x:c>
      <x:c r="C181" s="8" t="str">
        <x:v>齐木楠雄 (KusuoSaiki)</x:v>
      </x:c>
      <x:c r="D181" s="8" t="str">
        <x:v>齐木楠雄的灾难</x:v>
      </x:c>
      <x:c r="E181" s="8" t="str">
        <x:v>1."亮粉红极短刺发"
2."头顶两侧粉色天线装置"
3."无框绿色高光眼镜"</x:v>
      </x:c>
      <x:c r="F181" s="8" t="str">
        <x:v>按顺序核对：
1."亮粉红极短刺发"
2."头顶两侧粉色天线装置"
3."无框绿色高光眼镜"
再查“准不准”：模型是否被大众脸/大众画风拉回平均值 → 标志性特征走样或退化即判错。
核心考点：头部突刺植入金属天线的穿透感与面部反光镜片透射光晕结合，完全面瘫状态下防失活感。
任一红线触发 → 判错。</x:v>
      </x:c>
      <x:c r="G181" s="8" t="str"/>
    </x:row>
    <x:row r="182" ht="88" customHeight="1">
      <x:c r="A182" s="14" t="n">
        <x:v>181</x:v>
      </x:c>
      <x:c r="B182" s="28" t="str">
        <x:v>Tier 4</x:v>
      </x:c>
      <x:c r="C182" s="8" t="str">
        <x:v>穿宇航服拿着光剑的油女志乃</x:v>
      </x:c>
      <x:c r="D182" s="8" t="str">
        <x:v>极度OOD组合</x:v>
      </x:c>
      <x:c r="E182" s="8" t="str">
        <x:v>1."全套白色重型宇航服"
2."黑色小圆墨镜"
3."手持发出嗡嗡声的蓝色光剑"</x:v>
      </x:c>
      <x:c r="F182" s="8" t="str">
        <x:v>按顺序核对：
1."全套白色重型宇航服"
2."黑色小圆墨镜"
3."手持发出嗡嗡声的蓝色光剑"
再查“吞没吞”：强势元素是否吃掉弱势元素 → 任一元素缺失、被吞或糊成噪点即判错。
核心考点：极度不合理的空间与着装绝对覆盖防干涉，经典平面动漫面孔与高反光写实工业材质的强行拼合。
任一红线触发 → 判错。</x:v>
      </x:c>
      <x:c r="G182" s="8" t="str"/>
    </x:row>
    <x:row r="183" ht="88" customHeight="1">
      <x:c r="A183" s="14" t="n">
        <x:v>182</x:v>
      </x:c>
      <x:c r="B183" s="28" t="str">
        <x:v>Tier 4</x:v>
      </x:c>
      <x:c r="C183" s="8" t="str">
        <x:v>穿着维多利亚女仆装手持平底锅的五条悟</x:v>
      </x:c>
      <x:c r="D183" s="8" t="str">
        <x:v>极度OOD组合</x:v>
      </x:c>
      <x:c r="E183" s="8" t="str">
        <x:v>1."竖立银白短发与黑眼罩"
2."带巨大裙撑黑白女仆装"
3."粗糙生铁平底锅"</x:v>
      </x:c>
      <x:c r="F183" s="8" t="str">
        <x:v>按顺序核对：
1."竖立银白短发与黑眼罩"
2."带巨大裙撑黑白女仆装"
3."粗糙生铁平底锅"
再查“吞没吞”：强势元素是否吃掉弱势元素 → 任一元素缺失、被吞或糊成噪点即判错。
核心考点：强烈的生理性别常识与女性化服饰错位带来逻辑混乱，眼罩布料与女仆头饰花边的微小空间防抢夺干涉。
任一红线触发 → 判错。</x:v>
      </x:c>
      <x:c r="G183" s="8" t="str"/>
    </x:row>
    <x:row r="184" ht="88" customHeight="1">
      <x:c r="A184" s="14" t="n">
        <x:v>183</x:v>
      </x:c>
      <x:c r="B184" s="28" t="str">
        <x:v>Tier 4</x:v>
      </x:c>
      <x:c r="C184" s="8" t="str">
        <x:v>驾驶赛博朋克霓虹摩托车的灶门祢豆子</x:v>
      </x:c>
      <x:c r="D184" s="8" t="str">
        <x:v>极度OOD组合</x:v>
      </x:c>
      <x:c r="E184" s="8" t="str">
        <x:v>1."咬着绿竹筒的粉瞳少女脸庞"
2."发光霓虹电子线条紧身皮衣"
3."粉绿发光悬浮无辐条重机车"</x:v>
      </x:c>
      <x:c r="F184" s="8" t="str">
        <x:v>按顺序核对：
1."咬着绿竹筒的粉瞳少女脸庞"
2."发光霓虹电子线条紧身皮衣"
3."粉绿发光悬浮无辐条重机车"
再查“吞没吞”：强势元素是否吃掉弱势元素 → 任一元素缺失、被吞或糊成噪点即判错。
核心考点：古典传统原始农耕社会极简元素与极度科技硬核科幻的霓虹赛博高反光材质发生剧烈碰撞解算。
任一红线触发 → 判错。</x:v>
      </x:c>
      <x:c r="G184" s="8" t="str"/>
    </x:row>
    <x:row r="185" ht="88" customHeight="1">
      <x:c r="A185" s="14" t="n">
        <x:v>184</x:v>
      </x:c>
      <x:c r="B185" s="28" t="str">
        <x:v>Tier 4</x:v>
      </x:c>
      <x:c r="C185" s="8" t="str">
        <x:v>在沙滩上穿着夏威夷花衬衫喝椰汁的利威尔</x:v>
      </x:c>
      <x:c r="D185" s="8" t="str">
        <x:v>极度OOD组合</x:v>
      </x:c>
      <x:c r="E185" s="8" t="str">
        <x:v>1."死鱼眼冷峻黑短发"
2."高饱和度粉色火烈鸟夏威夷衬衫"
3."热带花环与大椰子"</x:v>
      </x:c>
      <x:c r="F185" s="8" t="str">
        <x:v>按顺序核对：
1."死鱼眼冷峻黑短发"
2."高饱和度粉色火烈鸟夏威夷衬衫"
3."热带花环与大椰子"
再查“吞没吞”：强势元素是否吃掉弱势元素 → 任一元素缺失、被吞或糊成噪点即判错。
核心考点：角色自身阴郁残酷的画风色调与热带高对比度高饱和度阳光开朗环境色的极强色彩断层边界隔离。
任一红线触发 → 判错。</x:v>
      </x:c>
      <x:c r="G185" s="8" t="str"/>
    </x:row>
    <x:row r="186" ht="88" customHeight="1">
      <x:c r="A186" s="14" t="n">
        <x:v>185</x:v>
      </x:c>
      <x:c r="B186" s="28" t="str">
        <x:v>Tier 4</x:v>
      </x:c>
      <x:c r="C186" s="8" t="str">
        <x:v>穿着现代职场西装做PPT汇报的芙莉莲</x:v>
      </x:c>
      <x:c r="D186" s="8" t="str">
        <x:v>极度OOD组合</x:v>
      </x:c>
      <x:c r="E186" s="8" t="str">
        <x:v>1."白色双马尾"
2."精灵长耳"
3."身穿现代深色修身职场西装"
4."站在投影幕布前手持激光笔做PPT汇报"</x:v>
      </x:c>
      <x:c r="F186" s="8" t="str">
        <x:v>按顺序核对：
1."白色双马尾"
2."精灵长耳"
3."身穿现代深色修身职场西装"
4."站在投影幕布前手持激光笔做PPT汇报"
再查“吞没吞”：强势元素是否吃掉弱势元素 → 任一元素缺失、被吞或糊成噪点即判错。
核心考点：奇幻要素被强行压缩到极其拘谨的现代社畜办公室环境，且包含数字逻辑的数据几何图表绝不乱码生成。
任一红线触发 → 判错。</x:v>
      </x:c>
      <x:c r="G186" s="8" t="str"/>
    </x:row>
    <x:row r="187" ht="88" customHeight="1">
      <x:c r="A187" s="14" t="n">
        <x:v>186</x:v>
      </x:c>
      <x:c r="B187" s="28" t="str">
        <x:v>Tier 4</x:v>
      </x:c>
      <x:c r="C187" s="8" t="str">
        <x:v>在演唱会舞台上弹奏电吉他的罗罗诺亚·索隆</x:v>
      </x:c>
      <x:c r="D187" s="8" t="str">
        <x:v>极度OOD组合</x:v>
      </x:c>
      <x:c r="E187" s="8" t="str">
        <x:v>1."标志性绿藻头与左眼横向刀疤"
2."荧光极光彩绘赤裸上半身"
3."重金属带刺电吉他"
4."嘴咬绿色塑料拨片"</x:v>
      </x:c>
      <x:c r="F187" s="8" t="str">
        <x:v>按顺序核对：
1."标志性绿藻头与左眼横向刀疤"
2."荧光极光彩绘赤裸上半身"
3."重金属带刺电吉他"
4."嘴咬绿色塑料拨片"
再查“吞没吞”：强势元素是否吃掉弱势元素 → 任一元素缺失、被吞或糊成噪点即判错。
核心考点：人类动作与其标志性附属道具的终极空间极限映射替换防混淆（“咬刀”替换为“咬拨片”，“挥刀”替换为“弹吉他”）。
任一红线触发 → 判错。</x:v>
      </x:c>
      <x:c r="G187" s="8" t="str"/>
    </x:row>
    <x:row r="188" ht="88" customHeight="1">
      <x:c r="A188" s="14" t="n">
        <x:v>187</x:v>
      </x:c>
      <x:c r="B188" s="28" t="str">
        <x:v>Tier 4</x:v>
      </x:c>
      <x:c r="C188" s="8" t="str">
        <x:v>长出金色及地超级赛亚人长发的琦玉</x:v>
      </x:c>
      <x:c r="D188" s="8" t="str">
        <x:v>极度OOD组合</x:v>
      </x:c>
      <x:c r="E188" s="8" t="str">
        <x:v>1."极度抽象浑圆光头五官"
2."爆炸生长的金色倒竖及地长发"
3."土味黄紧身超人服"
4."蓝白闪电能量风暴"</x:v>
      </x:c>
      <x:c r="F188" s="8" t="str">
        <x:v>按顺序核对：
1."极度抽象浑圆光头五官"
2."爆炸生长的金色倒竖及地长发"
3."土味黄紧身超人服"
4."蓝白闪电能量风暴"
再查“吞没吞”：强势元素是否吃掉弱势元素 → 任一元素缺失、被吞或糊成噪点即判错。
核心考点：将具有极致简化二维线条特征的光头五官强行嫁接极度厚重密集三维发丝的深度潜空间最强矛盾冲突测试。
任一红线触发 → 判错。</x:v>
      </x:c>
      <x:c r="G188" s="8" t="str"/>
    </x:row>
    <x:row r="189" ht="88" customHeight="1">
      <x:c r="A189" s="14" t="n">
        <x:v>188</x:v>
      </x:c>
      <x:c r="B189" s="28" t="str">
        <x:v>Tier 4</x:v>
      </x:c>
      <x:c r="C189" s="8" t="str">
        <x:v>正在检修发光量子计算机终端的猫猫</x:v>
      </x:c>
      <x:c r="D189" s="8" t="str">
        <x:v>极度OOD组合</x:v>
      </x:c>
      <x:c r="E189" s="8" t="str">
        <x:v>1."深绿中长发与雀斑脸"
2."沾满机油污渍现代重型防护服"
3."绿码流光倒影眼瞳"
4."手持蓝电弧高科技焊枪"</x:v>
      </x:c>
      <x:c r="F189" s="8" t="str">
        <x:v>按顺序核对：
1."深绿中长发与雀斑脸"
2."沾满机油污渍现代重型防护服"
3."绿码流光倒影眼瞳"
4."手持蓝电弧高科技焊枪"
再查“吞没吞”：强势元素是否吃掉弱势元素 → 任一元素缺失、被吞或糊成噪点即判错。
核心考点：极具古代药理古风的人设强行置换进入冰冷机械代码赛博世界的高难度环境光源对齐。
任一红线触发 → 判错。</x:v>
      </x:c>
      <x:c r="G189" s="8" t="str"/>
    </x:row>
    <x:row r="190" ht="88" customHeight="1">
      <x:c r="A190" s="14" t="n">
        <x:v>189</x:v>
      </x:c>
      <x:c r="B190" s="28" t="str">
        <x:v>Tier 4</x:v>
      </x:c>
      <x:c r="C190" s="8" t="str">
        <x:v>头戴彩色小丑假发手里拿着气球的乌尔奇奥拉</x:v>
      </x:c>
      <x:c r="D190" s="8" t="str">
        <x:v>极度OOD组合</x:v>
      </x:c>
      <x:c r="E190" s="8" t="str">
        <x:v>1."苍白皮肤与绿色泪痕虚洞"
2."极高饱和彩色小丑爆炸假发"
3."手牵巨大红绿相间氢气球"</x:v>
      </x:c>
      <x:c r="F190" s="8" t="str">
        <x:v>按顺序核对：
1."苍白皮肤与绿色泪痕虚洞"
2."极高饱和彩色小丑爆炸假发"
3."手牵巨大红绿相间氢气球"
再查“吞没吞”：强势元素是否吃掉弱势元素 → 任一元素缺失、被吞或糊成噪点即判错。
核心考点：极度悲剧阴暗人设被高饱和度小丑颜色块强行入侵的强力防崩溃隔离测试。
任一红线触发 → 判错。</x:v>
      </x:c>
      <x:c r="G190" s="8" t="str"/>
    </x:row>
    <x:row r="191" ht="88" customHeight="1">
      <x:c r="A191" s="14" t="n">
        <x:v>190</x:v>
      </x:c>
      <x:c r="B191" s="28" t="str">
        <x:v>Tier 4</x:v>
      </x:c>
      <x:c r="C191" s="8" t="str">
        <x:v>用武士刀切开巨大悬浮披萨的六平千寻</x:v>
      </x:c>
      <x:c r="D191" s="8" t="str">
        <x:v>极度OOD组合</x:v>
      </x:c>
      <x:c r="E191" s="8" t="str">
        <x:v>1."左脸横刀疤男"
2."武士刀燃黑火带金鱼特效"
3."刀刃切入太空失重拉丝披萨"</x:v>
      </x:c>
      <x:c r="F191" s="8" t="str">
        <x:v>按顺序核对：
1."左脸横刀疤男"
2."武士刀燃黑火带金鱼特效"
3."刀刃切入太空失重拉丝披萨"
再查“吞没吞”：强势元素是否吃掉弱势元素 → 任一元素缺失、被吞或糊成噪点即判错。
核心考点：严肃打斗能量特效（黑火金鱼）与荒诞日常物体（拉丝披萨）在极端反差下的材质物理交互。
任一红线触发 → 判错。</x:v>
      </x:c>
      <x:c r="G191" s="8" t="str"/>
    </x:row>
    <x:row r="192" ht="88" customHeight="1">
      <x:c r="A192" s="14" t="n">
        <x:v>191</x:v>
      </x:c>
      <x:c r="B192" s="28" t="str">
        <x:v>Tier 4</x:v>
      </x:c>
      <x:c r="C192" s="8" t="str">
        <x:v>原创设定："赛博武士X"(Cyber-SamuraiX)</x:v>
      </x:c>
      <x:c r="D192" s="8" t="str">
        <x:v>纯原创设定</x:v>
      </x:c>
      <x:c r="E192" s="8" t="str">
        <x:v>1."荧光粉色轻型金属铠甲"
2."发绿光数字矩阵全息遮罩"
3."高压蓝电弧武士刀"
4."悬浮银色机械战狼"</x:v>
      </x:c>
      <x:c r="F192" s="8" t="str">
        <x:v>按顺序核对：
1."荧光粉色轻型金属铠甲"
2."发绿光数字矩阵全息遮罩"
3."高压蓝电弧武士刀"
4."悬浮银色机械战狼"
无标准答案，按“元素全覆盖＋内部自洽”判：各要素必须全部出现且彼此可分辨，结构/材质/骨骼不崩坏、无明显AI伪影。
核心考点：在完全缺乏现有动漫特征依托下，验证多个复杂科幻子概念（装甲、面罩、电刀、机械兽）的零样本同时成型。
任一红线触发 → 判错。</x:v>
      </x:c>
      <x:c r="G192" s="8" t="str"/>
    </x:row>
    <x:row r="193" ht="88" customHeight="1">
      <x:c r="A193" s="14" t="n">
        <x:v>192</x:v>
      </x:c>
      <x:c r="B193" s="28" t="str">
        <x:v>Tier 4</x:v>
      </x:c>
      <x:c r="C193" s="8" t="str">
        <x:v>原创设定："水之法师卡埃尔"(Aqua-MageKael)</x:v>
      </x:c>
      <x:c r="D193" s="8" t="str">
        <x:v>纯原创设定</x:v>
      </x:c>
      <x:c r="E193" s="8" t="str">
        <x:v>1."湛蓝半透明水波纹液态皮肤"
2."微弱蓝光活体微型水母皇冠"
3."纯黑吸光连体法袍"
4."冰霜三叉戟扭曲法杖"</x:v>
      </x:c>
      <x:c r="F193" s="8" t="str">
        <x:v>按顺序核对：
1."湛蓝半透明水波纹液态皮肤"
2."微弱蓝光活体微型水母皇冠"
3."纯黑吸光连体法袍"
4."冰霜三叉戟扭曲法杖"
无标准答案，按“元素全覆盖＋内部自洽”判：各要素必须全部出现且彼此可分辨，结构/材质/骨骼不崩坏、无明显AI伪影。
核心考点：半透明流体材质高光穿透折射渲染，微型发光流体生物结构内部构造的极高精三维折射测试。
任一红线触发 → 判错。</x:v>
      </x:c>
      <x:c r="G193" s="8" t="str"/>
    </x:row>
    <x:row r="194" ht="88" customHeight="1">
      <x:c r="A194" s="14" t="n">
        <x:v>193</x:v>
      </x:c>
      <x:c r="B194" s="28" t="str">
        <x:v>Tier 4</x:v>
      </x:c>
      <x:c r="C194" s="8" t="str">
        <x:v>原创设定："蒸汽朋克炼金术士"</x:v>
      </x:c>
      <x:c r="D194" s="8" t="str">
        <x:v>纯原创设定</x:v>
      </x:c>
      <x:c r="E194" s="8" t="str">
        <x:v>1."冒白蒸汽古铜齿轮皮高礼帽"
2."带红色压力表黄铜机械臂"
3."沾黑机油皮大衣"
4."手托刺眼蓝光圆底玻璃烧瓶"</x:v>
      </x:c>
      <x:c r="F194" s="8" t="str">
        <x:v>按顺序核对：
1."冒白蒸汽古铜齿轮皮高礼帽"
2."带红色压力表黄铜机械臂"
3."沾黑机油皮大衣"
4."手托刺眼蓝光圆底玻璃烧瓶"
无标准答案，按“元素全覆盖＋内部自洽”判：各要素必须全部出现且彼此可分辨，结构/材质/骨骼不崩坏、无明显AI伪影。
核心考点：繁杂密集不规则重工业金属件高频锐利边缘保留，玻璃烧瓶透射发散光轨防干涉材质分离算法。
任一红线触发 → 判错。</x:v>
      </x:c>
      <x:c r="G194" s="8" t="str"/>
    </x:row>
    <x:row r="195" ht="88" customHeight="1">
      <x:c r="A195" s="14" t="n">
        <x:v>194</x:v>
      </x:c>
      <x:c r="B195" s="28" t="str">
        <x:v>Tier 4</x:v>
      </x:c>
      <x:c r="C195" s="8" t="str">
        <x:v>原创设定："空之骑士"(Aero-Knight)</x:v>
      </x:c>
      <x:c r="D195" s="8" t="str">
        <x:v>纯原创设定</x:v>
      </x:c>
      <x:c r="E195" s="8" t="str">
        <x:v>1."彩色拼接玻璃组成巨大翅膀"
2."云朵浮雕银白高反光重甲"
3."尖锐曲折闪电状金色长枪"</x:v>
      </x:c>
      <x:c r="F195" s="8" t="str">
        <x:v>按顺序核对：
1."彩色拼接玻璃组成巨大翅膀"
2."云朵浮雕银白高反光重甲"
3."尖锐曲折闪电状金色长枪"
无标准答案，按“元素全覆盖＋内部自洽”判：各要素必须全部出现且彼此可分辨，结构/材质/骨骼不崩坏、无明显AI伪影。
核心考点：教堂晶体透明材质强行转化为柔美羽翼的物理形态表现，非实体闪电武器边缘硬朗感体现。
任一红线触发 → 判错。</x:v>
      </x:c>
      <x:c r="G195" s="8" t="str"/>
    </x:row>
    <x:row r="196" ht="88" customHeight="1">
      <x:c r="A196" s="14" t="n">
        <x:v>195</x:v>
      </x:c>
      <x:c r="B196" s="28" t="str">
        <x:v>Tier 4</x:v>
      </x:c>
      <x:c r="C196" s="8" t="str">
        <x:v>原创设定："虚空女祭司" (VoidPriestess)</x:v>
      </x:c>
      <x:c r="D196" s="8" t="str">
        <x:v>纯原创设定</x:v>
      </x:c>
      <x:c r="E196" s="8" t="str">
        <x:v>1."头顶悬浮纯黑吸光破碎光环"
2."瞳孔内繁星点点如银河"
3."边缘消散为黑雾暗物质长袍"
4."铁链紧锁暗红魔导书"</x:v>
      </x:c>
      <x:c r="F196" s="8" t="str">
        <x:v>按顺序核对：
1."头顶悬浮纯黑吸光破碎光环"
2."瞳孔内繁星点点如银河"
3."边缘消散为黑雾暗物质长袍"
4."铁链紧锁暗红魔导书"
无标准答案，按“元素全覆盖＋内部自洽”判：各要素必须全部出现且彼此可分辨，结构/材质/骨骼不崩坏、无明显AI伪影。
核心考点：绝对黑体在常规光源下的无反光特效渲染，衣物边缘动态消散黑雾特效的苛刻边界测试。
任一红线触发 → 判错。</x:v>
      </x:c>
      <x:c r="G196" s="8" t="str"/>
    </x:row>
    <x:row r="197" ht="88" customHeight="1">
      <x:c r="A197" s="14" t="n">
        <x:v>196</x:v>
      </x:c>
      <x:c r="B197" s="28" t="str">
        <x:v>Tier 4</x:v>
      </x:c>
      <x:c r="C197" s="8" t="str">
        <x:v>原创设定："霓虹忍者夜"(Neon-NinjaYoru)</x:v>
      </x:c>
      <x:c r="D197" s="8" t="str">
        <x:v>纯原创设定</x:v>
      </x:c>
      <x:c r="E197" s="8" t="str">
        <x:v>1."发光荧光材质连体紧身衣"
2."反光极强的多边形霓虹面罩"
3."手持纯能量态光刃短兵"</x:v>
      </x:c>
      <x:c r="F197" s="8" t="str">
        <x:v>按顺序核对：
1."发光荧光材质连体紧身衣"
2."反光极强的多边形霓虹面罩"
3."手持纯能量态光刃短兵"
无标准答案，按“元素全覆盖＋内部自洽”判：各要素必须全部出现且彼此可分辨，结构/材质/骨骼不崩坏、无明显AI伪影。
核心考点：发光材质本身充当全局唯一环境光源时的光线追踪反射逼真度极端光影处理。
任一红线触发 → 判错。</x:v>
      </x:c>
      <x:c r="G197" s="8" t="str"/>
    </x:row>
    <x:row r="198" ht="88" customHeight="1">
      <x:c r="A198" s="14" t="n">
        <x:v>197</x:v>
      </x:c>
      <x:c r="B198" s="28" t="str">
        <x:v>Tier 4</x:v>
      </x:c>
      <x:c r="C198" s="8" t="str">
        <x:v>原创设定："森之狂战士"(Flora-Berserker)</x:v>
      </x:c>
      <x:c r="D198" s="8" t="str">
        <x:v>纯原创设定</x:v>
      </x:c>
      <x:c r="E198" s="8" t="str">
        <x:v>1."魁梧肌肉遍布深刺绿色荆棘藤蔓"
2."左眼戴绽放血红玫瑰眼罩"
3."木化粗糙带树皮红木树干大棒"</x:v>
      </x:c>
      <x:c r="F198" s="8" t="str">
        <x:v>按顺序核对：
1."魁梧肌肉遍布深刺绿色荆棘藤蔓"
2."左眼戴绽放血红玫瑰眼罩"
3."木化粗糙带树皮红木树干大棒"
无标准答案，按“元素全覆盖＋内部自洽”判：各要素必须全部出现且彼此可分辨，结构/材质/骨骼不崩坏、无明显AI伪影。
核心考点：粗壮起伏肌肉表面寄生植物贴图的完美生成，极其柔软植物化为刚硬武器的物理置换。
任一红线触发 → 判错。</x:v>
      </x:c>
      <x:c r="G198" s="8" t="str"/>
    </x:row>
    <x:row r="199" ht="88" customHeight="1">
      <x:c r="A199" s="14" t="n">
        <x:v>198</x:v>
      </x:c>
      <x:c r="B199" s="28" t="str">
        <x:v>Tier 4</x:v>
      </x:c>
      <x:c r="C199" s="8" t="str">
        <x:v>原创设定："机甲女仆阿尔法"(Mecha-MaidAlpha)</x:v>
      </x:c>
      <x:c r="D199" s="8" t="str">
        <x:v>纯原创设定</x:v>
      </x:c>
      <x:c r="E199" s="8" t="str">
        <x:v>1."打磨光滑极高反光镀铬金属片裙摆"
2."双肩向外突起金属排气管喷火星"
3."传统白色女仆发带"
4."带蓝色闪电除尘鸡毛掸子"</x:v>
      </x:c>
      <x:c r="F199" s="8" t="str">
        <x:v>按顺序核对：
1."打磨光滑极高反光镀铬金属片裙摆"
2."双肩向外突起金属排气管喷火星"
3."传统白色女仆发带"
4."带蓝色闪电除尘鸡毛掸子"
无标准答案，按“元素全覆盖＋内部自洽”判：各要素必须全部出现且彼此可分辨，结构/材质/骨骼不崩坏、无明显AI伪影。
核心考点：冷硬重工业金属件替换柔美百褶裙导致的褶皱光学极高反射变换推演。
任一红线触发 → 判错。</x:v>
      </x:c>
      <x:c r="G199" s="8" t="str"/>
    </x:row>
    <x:row r="200" ht="88" customHeight="1">
      <x:c r="A200" s="14" t="n">
        <x:v>199</x:v>
      </x:c>
      <x:c r="B200" s="28" t="str">
        <x:v>Tier 4</x:v>
      </x:c>
      <x:c r="C200" s="8" t="str">
        <x:v>原创设定："时空怪盗"(Chrono-Thief)</x:v>
      </x:c>
      <x:c r="D200" s="8" t="str">
        <x:v>纯原创设定</x:v>
      </x:c>
      <x:c r="E200" s="8" t="str">
        <x:v>1."镶嵌不同款式金怀表深色风衣"
2."走动机械表盘单片眼镜"
3."顶端扭曲周围空气波纹手杖"</x:v>
      </x:c>
      <x:c r="F200" s="8" t="str">
        <x:v>按顺序核对：
1."镶嵌不同款式金怀表深色风衣"
2."走动机械表盘单片眼镜"
3."顶端扭曲周围空气波纹手杖"
无标准答案，按“元素全覆盖＋内部自洽”判：各要素必须全部出现且彼此可分辨，结构/材质/骨骼不崩坏、无明显AI伪影。
核心考点：大面积高密度微小重复物件（怀表）的防崩坏，与空间扭曲特效（波纹）的极强叠加。
任一红线触发 → 判错。</x:v>
      </x:c>
      <x:c r="G200" s="8" t="str"/>
    </x:row>
    <x:row r="201" ht="88" customHeight="1">
      <x:c r="A201" s="14" t="n">
        <x:v>200</x:v>
      </x:c>
      <x:c r="B201" s="28" t="str">
        <x:v>Tier 4</x:v>
      </x:c>
      <x:c r="C201" s="8" t="str">
        <x:v>原创设定："岩浆主厨"(Magma-Chef)</x:v>
      </x:c>
      <x:c r="D201" s="8" t="str">
        <x:v>纯原创设定</x:v>
      </x:c>
      <x:c r="E201" s="8" t="str">
        <x:v>1."冷却凹凸不平黑曜石厨师围裙"
2."散发亮橙色热量液态岩浆双手"
3."跃起将巨型火球抛入中式炒锅"</x:v>
      </x:c>
      <x:c r="F201" s="8" t="str">
        <x:v>按顺序核对：
1."冷却凹凸不平黑曜石厨师围裙"
2."散发亮橙色热量液态岩浆双手"
3."跃起将巨型火球抛入中式炒锅"
无标准答案，按“元素全覆盖＋内部自洽”判：各要素必须全部出现且彼此可分辨，结构/材质/骨骼不崩坏、无明显AI伪影。
核心考点：发光流体取代完整人体器官（手）带来的骨骼结构保留难题，及烹饪动作的高动态抓拍。
任一红线触发 → 判错。</x:v>
      </x:c>
      <x:c r="G201" s="8"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8" hidden="0" customWidth="1"/>
    <x:col min="3" max="3" width="30" hidden="0" customWidth="1"/>
    <x:col min="4" max="4" width="22" hidden="0" customWidth="1"/>
    <x:col min="5" max="5" width="24" hidden="0" customWidth="1"/>
    <x:col min="6" max="6" width="10" hidden="0" customWidth="1"/>
    <x:col min="7" max="7" width="20" hidden="0" customWidth="1"/>
    <x:col min="8" max="8" width="30" hidden="0" customWidth="1"/>
  </x:cols>
  <x:sheetData>
    <x:row r="1" ht="32" customHeight="1">
      <x:c r="A1" s="5" t="str">
        <x:v>序号</x:v>
      </x:c>
      <x:c r="B1" s="5" t="str">
        <x:v>Tier</x:v>
      </x:c>
      <x:c r="C1" s="5" t="str">
        <x:v>角色 / 组合设定</x:v>
      </x:c>
      <x:c r="D1" s="5" t="str">
        <x:v>所属作品 / 类别</x:v>
      </x:c>
      <x:c r="E1" s="5" t="str">
        <x:v>图片编号 / 文件名</x:v>
      </x:c>
      <x:c r="F1" s="5" t="str">
        <x:v>判定</x:v>
      </x:c>
      <x:c r="G1" s="5" t="str">
        <x:v>死因标签（3–5字）</x:v>
      </x:c>
      <x:c r="H1" s="5" t="str">
        <x:v>备注</x:v>
      </x:c>
    </x:row>
    <x:row r="2" ht="28" customHeight="1">
      <x:c r="A2" s="14" t="n">
        <x:f>'看图清单'!A2</x:f>
        <x:v>1</x:v>
      </x:c>
      <x:c r="B2" s="14" t="str">
        <x:f>'看图清单'!B2</x:f>
        <x:v>Tier 1</x:v>
      </x:c>
      <x:c r="C2" s="14" t="str">
        <x:f>'看图清单'!C2</x:f>
        <x:v>鸣人 (NarutoUzumaki)</x:v>
      </x:c>
      <x:c r="D2" s="14" t="str">
        <x:f>'看图清单'!D2</x:f>
        <x:v>火影忍者</x:v>
      </x:c>
      <x:c r="E2" s="8"/>
      <x:c r="F2" s="8"/>
      <x:c r="G2" s="8"/>
      <x:c r="H2" s="8"/>
    </x:row>
    <x:row r="3" ht="28" customHeight="1">
      <x:c r="A3" s="14" t="n">
        <x:f>'看图清单'!A3</x:f>
        <x:v>2</x:v>
      </x:c>
      <x:c r="B3" s="14" t="str">
        <x:f>'看图清单'!B3</x:f>
        <x:v>Tier 1</x:v>
      </x:c>
      <x:c r="C3" s="14" t="str">
        <x:f>'看图清单'!C3</x:f>
        <x:v>路飞 (Monkey D.Luffy)</x:v>
      </x:c>
      <x:c r="D3" s="14" t="str">
        <x:f>'看图清单'!D3</x:f>
        <x:v>海贼王</x:v>
      </x:c>
      <x:c r="E3" s="8"/>
      <x:c r="F3" s="8"/>
      <x:c r="G3" s="8"/>
      <x:c r="H3" s="8"/>
    </x:row>
    <x:row r="4" ht="28" customHeight="1">
      <x:c r="A4" s="14" t="n">
        <x:f>'看图清单'!A4</x:f>
        <x:v>3</x:v>
      </x:c>
      <x:c r="B4" s="14" t="str">
        <x:f>'看图清单'!B4</x:f>
        <x:v>Tier 1</x:v>
      </x:c>
      <x:c r="C4" s="14" t="str">
        <x:f>'看图清单'!C4</x:f>
        <x:v>五条悟 (GojoSatoru)</x:v>
      </x:c>
      <x:c r="D4" s="14" t="str">
        <x:f>'看图清单'!D4</x:f>
        <x:v>咒术回战</x:v>
      </x:c>
      <x:c r="E4" s="8"/>
      <x:c r="F4" s="8"/>
      <x:c r="G4" s="8"/>
      <x:c r="H4" s="8"/>
    </x:row>
    <x:row r="5" ht="28" customHeight="1">
      <x:c r="A5" s="14" t="n">
        <x:f>'看图清单'!A5</x:f>
        <x:v>4</x:v>
      </x:c>
      <x:c r="B5" s="14" t="str">
        <x:f>'看图清单'!B5</x:f>
        <x:v>Tier 1</x:v>
      </x:c>
      <x:c r="C5" s="14" t="str">
        <x:f>'看图清单'!C5</x:f>
        <x:v>孙悟空 (Goku)</x:v>
      </x:c>
      <x:c r="D5" s="14" t="str">
        <x:f>'看图清单'!D5</x:f>
        <x:v>龙珠</x:v>
      </x:c>
      <x:c r="E5" s="8"/>
      <x:c r="F5" s="8"/>
      <x:c r="G5" s="8"/>
      <x:c r="H5" s="8"/>
    </x:row>
    <x:row r="6" ht="28" customHeight="1">
      <x:c r="A6" s="14" t="n">
        <x:f>'看图清单'!A6</x:f>
        <x:v>5</x:v>
      </x:c>
      <x:c r="B6" s="14" t="str">
        <x:f>'看图清单'!B6</x:f>
        <x:v>Tier 1</x:v>
      </x:c>
      <x:c r="C6" s="14" t="str">
        <x:f>'看图清单'!C6</x:f>
        <x:v>灶门炭治郎(Tanjiro Kamado)</x:v>
      </x:c>
      <x:c r="D6" s="14" t="str">
        <x:f>'看图清单'!D6</x:f>
        <x:v>鬼灭之刃</x:v>
      </x:c>
      <x:c r="E6" s="8"/>
      <x:c r="F6" s="8"/>
      <x:c r="G6" s="8"/>
      <x:c r="H6" s="8"/>
    </x:row>
    <x:row r="7" ht="28" customHeight="1">
      <x:c r="A7" s="14" t="n">
        <x:f>'看图清单'!A7</x:f>
        <x:v>6</x:v>
      </x:c>
      <x:c r="B7" s="14" t="str">
        <x:f>'看图清单'!B7</x:f>
        <x:v>Tier 1</x:v>
      </x:c>
      <x:c r="C7" s="14" t="str">
        <x:f>'看图清单'!C7</x:f>
        <x:v>灶门祢豆子(NezukoKamado)</x:v>
      </x:c>
      <x:c r="D7" s="14" t="str">
        <x:f>'看图清单'!D7</x:f>
        <x:v>鬼灭之刃</x:v>
      </x:c>
      <x:c r="E7" s="8"/>
      <x:c r="F7" s="8"/>
      <x:c r="G7" s="8"/>
      <x:c r="H7" s="8"/>
    </x:row>
    <x:row r="8" ht="28" customHeight="1">
      <x:c r="A8" s="14" t="n">
        <x:f>'看图清单'!A8</x:f>
        <x:v>7</x:v>
      </x:c>
      <x:c r="B8" s="14" t="str">
        <x:f>'看图清单'!B8</x:f>
        <x:v>Tier 1</x:v>
      </x:c>
      <x:c r="C8" s="14" t="str">
        <x:f>'看图清单'!C8</x:f>
        <x:v>利威尔 (LeviAckerman)</x:v>
      </x:c>
      <x:c r="D8" s="14" t="str">
        <x:f>'看图清单'!D8</x:f>
        <x:v>进击的巨人</x:v>
      </x:c>
      <x:c r="E8" s="8"/>
      <x:c r="F8" s="8"/>
      <x:c r="G8" s="8"/>
      <x:c r="H8" s="8"/>
    </x:row>
    <x:row r="9" ht="28" customHeight="1">
      <x:c r="A9" s="14" t="n">
        <x:f>'看图清单'!A9</x:f>
        <x:v>8</x:v>
      </x:c>
      <x:c r="B9" s="14" t="str">
        <x:f>'看图清单'!B9</x:f>
        <x:v>Tier 1</x:v>
      </x:c>
      <x:c r="C9" s="14" t="str">
        <x:f>'看图清单'!C9</x:f>
        <x:v>琦玉 (Saitama)</x:v>
      </x:c>
      <x:c r="D9" s="14" t="str">
        <x:f>'看图清单'!D9</x:f>
        <x:v>一拳超人</x:v>
      </x:c>
      <x:c r="E9" s="8"/>
      <x:c r="F9" s="8"/>
      <x:c r="G9" s="8"/>
      <x:c r="H9" s="8"/>
    </x:row>
    <x:row r="10" ht="28" customHeight="1">
      <x:c r="A10" s="14" t="n">
        <x:f>'看图清单'!A10</x:f>
        <x:v>9</x:v>
      </x:c>
      <x:c r="B10" s="14" t="str">
        <x:f>'看图清单'!B10</x:f>
        <x:v>Tier 1</x:v>
      </x:c>
      <x:c r="C10" s="14" t="str">
        <x:f>'看图清单'!C10</x:f>
        <x:v>索隆 (RoronoaZoro)</x:v>
      </x:c>
      <x:c r="D10" s="14" t="str">
        <x:f>'看图清单'!D10</x:f>
        <x:v>海贼王</x:v>
      </x:c>
      <x:c r="E10" s="8"/>
      <x:c r="F10" s="8"/>
      <x:c r="G10" s="8"/>
      <x:c r="H10" s="8"/>
    </x:row>
    <x:row r="11" ht="28" customHeight="1">
      <x:c r="A11" s="14" t="n">
        <x:f>'看图清单'!A11</x:f>
        <x:v>10</x:v>
      </x:c>
      <x:c r="B11" s="14" t="str">
        <x:f>'看图清单'!B11</x:f>
        <x:v>Tier 1</x:v>
      </x:c>
      <x:c r="C11" s="14" t="str">
        <x:f>'看图清单'!C11</x:f>
        <x:v>杀生丸(Sesshomaru)</x:v>
      </x:c>
      <x:c r="D11" s="14" t="str">
        <x:f>'看图清单'!D11</x:f>
        <x:v>犬夜叉</x:v>
      </x:c>
      <x:c r="E11" s="8"/>
      <x:c r="F11" s="8"/>
      <x:c r="G11" s="8"/>
      <x:c r="H11" s="8"/>
    </x:row>
    <x:row r="12" ht="28" customHeight="1">
      <x:c r="A12" s="14" t="n">
        <x:f>'看图清单'!A12</x:f>
        <x:v>11</x:v>
      </x:c>
      <x:c r="B12" s="14" t="str">
        <x:f>'看图清单'!B12</x:f>
        <x:v>Tier 1</x:v>
      </x:c>
      <x:c r="C12" s="14" t="str">
        <x:f>'看图清单'!C12</x:f>
        <x:v>爱德华·艾尔利克(Edward Elric)</x:v>
      </x:c>
      <x:c r="D12" s="14" t="str">
        <x:f>'看图清单'!D12</x:f>
        <x:v>钢之炼金术师</x:v>
      </x:c>
      <x:c r="E12" s="8"/>
      <x:c r="F12" s="8"/>
      <x:c r="G12" s="8"/>
      <x:c r="H12" s="8"/>
    </x:row>
    <x:row r="13" ht="28" customHeight="1">
      <x:c r="A13" s="14" t="n">
        <x:f>'看图清单'!A13</x:f>
        <x:v>12</x:v>
      </x:c>
      <x:c r="B13" s="14" t="str">
        <x:f>'看图清单'!B13</x:f>
        <x:v>Tier 1</x:v>
      </x:c>
      <x:c r="C13" s="14" t="str">
        <x:f>'看图清单'!C13</x:f>
        <x:v>樱木花道(HanamichiSakuragi)</x:v>
      </x:c>
      <x:c r="D13" s="14" t="str">
        <x:f>'看图清单'!D13</x:f>
        <x:v>灌篮高手</x:v>
      </x:c>
      <x:c r="E13" s="8"/>
      <x:c r="F13" s="8"/>
      <x:c r="G13" s="8"/>
      <x:c r="H13" s="8"/>
    </x:row>
    <x:row r="14" ht="28" customHeight="1">
      <x:c r="A14" s="14" t="n">
        <x:f>'看图清单'!A14</x:f>
        <x:v>13</x:v>
      </x:c>
      <x:c r="B14" s="14" t="str">
        <x:f>'看图清单'!B14</x:f>
        <x:v>Tier 1</x:v>
      </x:c>
      <x:c r="C14" s="14" t="str">
        <x:f>'看图清单'!C14</x:f>
        <x:v>越前龙马(RyomaEchizen)</x:v>
      </x:c>
      <x:c r="D14" s="14" t="str">
        <x:f>'看图清单'!D14</x:f>
        <x:v>网球王子</x:v>
      </x:c>
      <x:c r="E14" s="8"/>
      <x:c r="F14" s="8"/>
      <x:c r="G14" s="8"/>
      <x:c r="H14" s="8"/>
    </x:row>
    <x:row r="15" ht="28" customHeight="1">
      <x:c r="A15" s="14" t="n">
        <x:f>'看图清单'!A15</x:f>
        <x:v>14</x:v>
      </x:c>
      <x:c r="B15" s="14" t="str">
        <x:f>'看图清单'!B15</x:f>
        <x:v>Tier 1</x:v>
      </x:c>
      <x:c r="C15" s="14" t="str">
        <x:f>'看图清单'!C15</x:f>
        <x:v>坂田银时(Gintoki Sakata)</x:v>
      </x:c>
      <x:c r="D15" s="14" t="str">
        <x:f>'看图清单'!D15</x:f>
        <x:v>银魂</x:v>
      </x:c>
      <x:c r="E15" s="8"/>
      <x:c r="F15" s="8"/>
      <x:c r="G15" s="8"/>
      <x:c r="H15" s="8"/>
    </x:row>
    <x:row r="16" ht="28" customHeight="1">
      <x:c r="A16" s="14" t="n">
        <x:f>'看图清单'!A16</x:f>
        <x:v>15</x:v>
      </x:c>
      <x:c r="B16" s="14" t="str">
        <x:f>'看图清单'!B16</x:f>
        <x:v>Tier 1</x:v>
      </x:c>
      <x:c r="C16" s="14" t="str">
        <x:f>'看图清单'!C16</x:f>
        <x:v>宇智波佐助(Sasuke Uchiha)</x:v>
      </x:c>
      <x:c r="D16" s="14" t="str">
        <x:f>'看图清单'!D16</x:f>
        <x:v>火影忍者</x:v>
      </x:c>
      <x:c r="E16" s="8"/>
      <x:c r="F16" s="8"/>
      <x:c r="G16" s="8"/>
      <x:c r="H16" s="8"/>
    </x:row>
    <x:row r="17" ht="28" customHeight="1">
      <x:c r="A17" s="14" t="n">
        <x:f>'看图清单'!A17</x:f>
        <x:v>16</x:v>
      </x:c>
      <x:c r="B17" s="14" t="str">
        <x:f>'看图清单'!B17</x:f>
        <x:v>Tier 1</x:v>
      </x:c>
      <x:c r="C17" s="14" t="str">
        <x:f>'看图清单'!C17</x:f>
        <x:v>黑崎一护 (IchigoKurosaki)</x:v>
      </x:c>
      <x:c r="D17" s="14" t="str">
        <x:f>'看图清单'!D17</x:f>
        <x:v>死神</x:v>
      </x:c>
      <x:c r="E17" s="8"/>
      <x:c r="F17" s="8"/>
      <x:c r="G17" s="8"/>
      <x:c r="H17" s="8"/>
    </x:row>
    <x:row r="18" ht="28" customHeight="1">
      <x:c r="A18" s="14" t="n">
        <x:f>'看图清单'!A18</x:f>
        <x:v>17</x:v>
      </x:c>
      <x:c r="B18" s="14" t="str">
        <x:f>'看图清单'!B18</x:f>
        <x:v>Tier 1</x:v>
      </x:c>
      <x:c r="C18" s="14" t="str">
        <x:f>'看图清单'!C18</x:f>
        <x:v>江户川柯南(ConanEdogawa)</x:v>
      </x:c>
      <x:c r="D18" s="14" t="str">
        <x:f>'看图清单'!D18</x:f>
        <x:v>名侦探柯南</x:v>
      </x:c>
      <x:c r="E18" s="8"/>
      <x:c r="F18" s="8"/>
      <x:c r="G18" s="8"/>
      <x:c r="H18" s="8"/>
    </x:row>
    <x:row r="19" ht="28" customHeight="1">
      <x:c r="A19" s="14" t="n">
        <x:f>'看图清单'!A19</x:f>
        <x:v>18</x:v>
      </x:c>
      <x:c r="B19" s="14" t="str">
        <x:f>'看图清单'!B19</x:f>
        <x:v>Tier 1</x:v>
      </x:c>
      <x:c r="C19" s="14" t="str">
        <x:f>'看图清单'!C19</x:f>
        <x:v>绫波丽 (ReiAyanami)</x:v>
      </x:c>
      <x:c r="D19" s="14" t="str">
        <x:f>'看图清单'!D19</x:f>
        <x:v>新世纪福音战士</x:v>
      </x:c>
      <x:c r="E19" s="8"/>
      <x:c r="F19" s="8"/>
      <x:c r="G19" s="8"/>
      <x:c r="H19" s="8"/>
    </x:row>
    <x:row r="20" ht="28" customHeight="1">
      <x:c r="A20" s="14" t="n">
        <x:f>'看图清单'!A20</x:f>
        <x:v>19</x:v>
      </x:c>
      <x:c r="B20" s="14" t="str">
        <x:f>'看图清单'!B20</x:f>
        <x:v>Tier 1</x:v>
      </x:c>
      <x:c r="C20" s="14" t="str">
        <x:f>'看图清单'!C20</x:f>
        <x:v>夜神月 (LightYagami)</x:v>
      </x:c>
      <x:c r="D20" s="14" t="str">
        <x:f>'看图清单'!D20</x:f>
        <x:v>死亡笔记</x:v>
      </x:c>
      <x:c r="E20" s="8"/>
      <x:c r="F20" s="8"/>
      <x:c r="G20" s="8"/>
      <x:c r="H20" s="8"/>
    </x:row>
    <x:row r="21" ht="28" customHeight="1">
      <x:c r="A21" s="14" t="n">
        <x:f>'看图清单'!A21</x:f>
        <x:v>20</x:v>
      </x:c>
      <x:c r="B21" s="14" t="str">
        <x:f>'看图清单'!B21</x:f>
        <x:v>Tier 1</x:v>
      </x:c>
      <x:c r="C21" s="14" t="str">
        <x:f>'看图清单'!C21</x:f>
        <x:v>鲁路修 (LelouchLamperouge)</x:v>
      </x:c>
      <x:c r="D21" s="14" t="str">
        <x:f>'看图清单'!D21</x:f>
        <x:v>叛逆的鲁路修</x:v>
      </x:c>
      <x:c r="E21" s="8"/>
      <x:c r="F21" s="8"/>
      <x:c r="G21" s="8"/>
      <x:c r="H21" s="8"/>
    </x:row>
    <x:row r="22" ht="28" customHeight="1">
      <x:c r="A22" s="14" t="n">
        <x:f>'看图清单'!A22</x:f>
        <x:v>21</x:v>
      </x:c>
      <x:c r="B22" s="14" t="str">
        <x:f>'看图清单'!B22</x:f>
        <x:v>Tier 1</x:v>
      </x:c>
      <x:c r="C22" s="14" t="str">
        <x:f>'看图清单'!C22</x:f>
        <x:v>阿尔托莉雅(Saber)</x:v>
      </x:c>
      <x:c r="D22" s="14" t="str">
        <x:f>'看图清单'!D22</x:f>
        <x:v>Fate系列</x:v>
      </x:c>
      <x:c r="E22" s="8"/>
      <x:c r="F22" s="8"/>
      <x:c r="G22" s="8"/>
      <x:c r="H22" s="8"/>
    </x:row>
    <x:row r="23" ht="28" customHeight="1">
      <x:c r="A23" s="14" t="n">
        <x:f>'看图清单'!A23</x:f>
        <x:v>22</x:v>
      </x:c>
      <x:c r="B23" s="14" t="str">
        <x:f>'看图清单'!B23</x:f>
        <x:v>Tier 1</x:v>
      </x:c>
      <x:c r="C23" s="14" t="str">
        <x:f>'看图清单'!C23</x:f>
        <x:v>初音未来(Hatsune Miku)</x:v>
      </x:c>
      <x:c r="D23" s="14" t="str">
        <x:f>'看图清单'!D23</x:f>
        <x:v>VOCALOID</x:v>
      </x:c>
      <x:c r="E23" s="8"/>
      <x:c r="F23" s="8"/>
      <x:c r="G23" s="8"/>
      <x:c r="H23" s="8"/>
    </x:row>
    <x:row r="24" ht="28" customHeight="1">
      <x:c r="A24" s="14" t="n">
        <x:f>'看图清单'!A24</x:f>
        <x:v>23</x:v>
      </x:c>
      <x:c r="B24" s="14" t="str">
        <x:f>'看图清单'!B24</x:f>
        <x:v>Tier 1</x:v>
      </x:c>
      <x:c r="C24" s="14" t="str">
        <x:f>'看图清单'!C24</x:f>
        <x:v>空条承太郎(Jotaro Kujo)</x:v>
      </x:c>
      <x:c r="D24" s="14" t="str">
        <x:f>'看图清单'!D24</x:f>
        <x:v>JOJO的奇妙冒险</x:v>
      </x:c>
      <x:c r="E24" s="8"/>
      <x:c r="F24" s="8"/>
      <x:c r="G24" s="8"/>
      <x:c r="H24" s="8"/>
    </x:row>
    <x:row r="25" ht="28" customHeight="1">
      <x:c r="A25" s="14" t="n">
        <x:f>'看图清单'!A25</x:f>
        <x:v>24</x:v>
      </x:c>
      <x:c r="B25" s="14" t="str">
        <x:f>'看图清单'!B25</x:f>
        <x:v>Tier 1</x:v>
      </x:c>
      <x:c r="C25" s="14" t="str">
        <x:f>'看图清单'!C25</x:f>
        <x:v>哆啦A梦(Doraemon)</x:v>
      </x:c>
      <x:c r="D25" s="14" t="str">
        <x:f>'看图清单'!D25</x:f>
        <x:v>哆啦A梦</x:v>
      </x:c>
      <x:c r="E25" s="8"/>
      <x:c r="F25" s="8"/>
      <x:c r="G25" s="8"/>
      <x:c r="H25" s="8"/>
    </x:row>
    <x:row r="26" ht="28" customHeight="1">
      <x:c r="A26" s="14" t="n">
        <x:f>'看图清单'!A26</x:f>
        <x:v>25</x:v>
      </x:c>
      <x:c r="B26" s="14" t="str">
        <x:f>'看图清单'!B26</x:f>
        <x:v>Tier 1</x:v>
      </x:c>
      <x:c r="C26" s="14" t="str">
        <x:f>'看图清单'!C26</x:f>
        <x:v>皮卡丘 (Pikachu)</x:v>
      </x:c>
      <x:c r="D26" s="14" t="str">
        <x:f>'看图清单'!D26</x:f>
        <x:v>宝可梦</x:v>
      </x:c>
      <x:c r="E26" s="8"/>
      <x:c r="F26" s="8"/>
      <x:c r="G26" s="8"/>
      <x:c r="H26" s="8"/>
    </x:row>
    <x:row r="27" ht="28" customHeight="1">
      <x:c r="A27" s="14" t="n">
        <x:f>'看图清单'!A27</x:f>
        <x:v>26</x:v>
      </x:c>
      <x:c r="B27" s="14" t="str">
        <x:f>'看图清单'!B27</x:f>
        <x:v>Tier 1</x:v>
      </x:c>
      <x:c r="C27" s="14" t="str">
        <x:f>'看图清单'!C27</x:f>
        <x:v>星野爱 (AiHoshino)</x:v>
      </x:c>
      <x:c r="D27" s="14" t="str">
        <x:f>'看图清单'!D27</x:f>
        <x:v>我推的孩子</x:v>
      </x:c>
      <x:c r="E27" s="8"/>
      <x:c r="F27" s="8"/>
      <x:c r="G27" s="8"/>
      <x:c r="H27" s="8"/>
    </x:row>
    <x:row r="28" ht="28" customHeight="1">
      <x:c r="A28" s="14" t="n">
        <x:f>'看图清单'!A28</x:f>
        <x:v>27</x:v>
      </x:c>
      <x:c r="B28" s="14" t="str">
        <x:f>'看图清单'!B28</x:f>
        <x:v>Tier 1</x:v>
      </x:c>
      <x:c r="C28" s="14" t="str">
        <x:f>'看图清单'!C28</x:f>
        <x:v>艾伦·耶格尔(Eren Yeager)</x:v>
      </x:c>
      <x:c r="D28" s="14" t="str">
        <x:f>'看图清单'!D28</x:f>
        <x:v>进击的巨人</x:v>
      </x:c>
      <x:c r="E28" s="8"/>
      <x:c r="F28" s="8"/>
      <x:c r="G28" s="8"/>
      <x:c r="H28" s="8"/>
    </x:row>
    <x:row r="29" ht="28" customHeight="1">
      <x:c r="A29" s="14" t="n">
        <x:f>'看图清单'!A29</x:f>
        <x:v>28</x:v>
      </x:c>
      <x:c r="B29" s="14" t="str">
        <x:f>'看图清单'!B29</x:f>
        <x:v>Tier 1</x:v>
      </x:c>
      <x:c r="C29" s="14" t="str">
        <x:f>'看图清单'!C29</x:f>
        <x:v>纳兹 (NatsuDragneel)</x:v>
      </x:c>
      <x:c r="D29" s="14" t="str">
        <x:f>'看图清单'!D29</x:f>
        <x:v>妖精的尾巴</x:v>
      </x:c>
      <x:c r="E29" s="8"/>
      <x:c r="F29" s="8"/>
      <x:c r="G29" s="8"/>
      <x:c r="H29" s="8"/>
    </x:row>
    <x:row r="30" ht="28" customHeight="1">
      <x:c r="A30" s="14" t="n">
        <x:f>'看图清单'!A30</x:f>
        <x:v>29</x:v>
      </x:c>
      <x:c r="B30" s="14" t="str">
        <x:f>'看图清单'!B30</x:f>
        <x:v>Tier 1</x:v>
      </x:c>
      <x:c r="C30" s="14" t="str">
        <x:f>'看图清单'!C30</x:f>
        <x:v>桐谷和人 (Kirito)</x:v>
      </x:c>
      <x:c r="D30" s="14" t="str">
        <x:f>'看图清单'!D30</x:f>
        <x:v>刀剑神域</x:v>
      </x:c>
      <x:c r="E30" s="8"/>
      <x:c r="F30" s="8"/>
      <x:c r="G30" s="8"/>
      <x:c r="H30" s="8"/>
    </x:row>
    <x:row r="31" ht="28" customHeight="1">
      <x:c r="A31" s="14" t="n">
        <x:f>'看图清单'!A31</x:f>
        <x:v>30</x:v>
      </x:c>
      <x:c r="B31" s="14" t="str">
        <x:f>'看图清单'!B31</x:f>
        <x:v>Tier 1</x:v>
      </x:c>
      <x:c r="C31" s="14" t="str">
        <x:f>'看图清单'!C31</x:f>
        <x:v>御坂美琴(Mikoto Misaka)</x:v>
      </x:c>
      <x:c r="D31" s="14" t="str">
        <x:f>'看图清单'!D31</x:f>
        <x:v>魔法禁书目录</x:v>
      </x:c>
      <x:c r="E31" s="8"/>
      <x:c r="F31" s="8"/>
      <x:c r="G31" s="8"/>
      <x:c r="H31" s="8"/>
    </x:row>
    <x:row r="32" ht="28" customHeight="1">
      <x:c r="A32" s="14" t="n">
        <x:f>'看图清单'!A32</x:f>
        <x:v>31</x:v>
      </x:c>
      <x:c r="B32" s="14" t="str">
        <x:f>'看图清单'!B32</x:f>
        <x:v>Tier 1</x:v>
      </x:c>
      <x:c r="C32" s="14" t="str">
        <x:f>'看图清单'!C32</x:f>
        <x:v>虎杖悠仁 (YujiItadori)</x:v>
      </x:c>
      <x:c r="D32" s="14" t="str">
        <x:f>'看图清单'!D32</x:f>
        <x:v>咒术回战</x:v>
      </x:c>
      <x:c r="E32" s="8"/>
      <x:c r="F32" s="8"/>
      <x:c r="G32" s="8"/>
      <x:c r="H32" s="8"/>
    </x:row>
    <x:row r="33" ht="28" customHeight="1">
      <x:c r="A33" s="14" t="n">
        <x:f>'看图清单'!A33</x:f>
        <x:v>32</x:v>
      </x:c>
      <x:c r="B33" s="14" t="str">
        <x:f>'看图清单'!B33</x:f>
        <x:v>Tier 1</x:v>
      </x:c>
      <x:c r="C33" s="14" t="str">
        <x:f>'看图清单'!C33</x:f>
        <x:v>伏黑惠 (MegumiFushiguro)</x:v>
      </x:c>
      <x:c r="D33" s="14" t="str">
        <x:f>'看图清单'!D33</x:f>
        <x:v>咒术回战</x:v>
      </x:c>
      <x:c r="E33" s="8"/>
      <x:c r="F33" s="8"/>
      <x:c r="G33" s="8"/>
      <x:c r="H33" s="8"/>
    </x:row>
    <x:row r="34" ht="28" customHeight="1">
      <x:c r="A34" s="14" t="n">
        <x:f>'看图清单'!A34</x:f>
        <x:v>33</x:v>
      </x:c>
      <x:c r="B34" s="14" t="str">
        <x:f>'看图清单'!B34</x:f>
        <x:v>Tier 1</x:v>
      </x:c>
      <x:c r="C34" s="14" t="str">
        <x:f>'看图清单'!C34</x:f>
        <x:v>绿谷出久 (IzukuMidoriya)</x:v>
      </x:c>
      <x:c r="D34" s="14" t="str">
        <x:f>'看图清单'!D34</x:f>
        <x:v>我的英雄学院</x:v>
      </x:c>
      <x:c r="E34" s="8"/>
      <x:c r="F34" s="8"/>
      <x:c r="G34" s="8"/>
      <x:c r="H34" s="8"/>
    </x:row>
    <x:row r="35" ht="28" customHeight="1">
      <x:c r="A35" s="14" t="n">
        <x:f>'看图清单'!A35</x:f>
        <x:v>34</x:v>
      </x:c>
      <x:c r="B35" s="14" t="str">
        <x:f>'看图清单'!B35</x:f>
        <x:v>Tier 1</x:v>
      </x:c>
      <x:c r="C35" s="14" t="str">
        <x:f>'看图清单'!C35</x:f>
        <x:v>爆豪胜己(Katsuki Bakugo)</x:v>
      </x:c>
      <x:c r="D35" s="14" t="str">
        <x:f>'看图清单'!D35</x:f>
        <x:v>我的英雄学院</x:v>
      </x:c>
      <x:c r="E35" s="8"/>
      <x:c r="F35" s="8"/>
      <x:c r="G35" s="8"/>
      <x:c r="H35" s="8"/>
    </x:row>
    <x:row r="36" ht="28" customHeight="1">
      <x:c r="A36" s="14" t="n">
        <x:f>'看图清单'!A36</x:f>
        <x:v>35</x:v>
      </x:c>
      <x:c r="B36" s="14" t="str">
        <x:f>'看图清单'!B36</x:f>
        <x:v>Tier 1</x:v>
      </x:c>
      <x:c r="C36" s="14" t="str">
        <x:f>'看图清单'!C36</x:f>
        <x:v>金木研 (KenKaneki)</x:v>
      </x:c>
      <x:c r="D36" s="14" t="str">
        <x:f>'看图清单'!D36</x:f>
        <x:v>东京喰种</x:v>
      </x:c>
      <x:c r="E36" s="8"/>
      <x:c r="F36" s="8"/>
      <x:c r="G36" s="8"/>
      <x:c r="H36" s="8"/>
    </x:row>
    <x:row r="37" ht="28" customHeight="1">
      <x:c r="A37" s="14" t="n">
        <x:f>'看图清单'!A37</x:f>
        <x:v>36</x:v>
      </x:c>
      <x:c r="B37" s="14" t="str">
        <x:f>'看图清单'!B37</x:f>
        <x:v>Tier 1</x:v>
      </x:c>
      <x:c r="C37" s="14" t="str">
        <x:f>'看图清单'!C37</x:f>
        <x:v>杀老师(Koro-sensei)</x:v>
      </x:c>
      <x:c r="D37" s="14" t="str">
        <x:f>'看图清单'!D37</x:f>
        <x:v>暗杀教室</x:v>
      </x:c>
      <x:c r="E37" s="8"/>
      <x:c r="F37" s="8"/>
      <x:c r="G37" s="8"/>
      <x:c r="H37" s="8"/>
    </x:row>
    <x:row r="38" ht="28" customHeight="1">
      <x:c r="A38" s="14" t="n">
        <x:f>'看图清单'!A38</x:f>
        <x:v>37</x:v>
      </x:c>
      <x:c r="B38" s="14" t="str">
        <x:f>'看图清单'!B38</x:f>
        <x:v>Tier 1</x:v>
      </x:c>
      <x:c r="C38" s="14" t="str">
        <x:f>'看图清单'!C38</x:f>
        <x:v>影山飞雄 (TobioKageyama)</x:v>
      </x:c>
      <x:c r="D38" s="14" t="str">
        <x:f>'看图清单'!D38</x:f>
        <x:v>排球少年</x:v>
      </x:c>
      <x:c r="E38" s="8"/>
      <x:c r="F38" s="8"/>
      <x:c r="G38" s="8"/>
      <x:c r="H38" s="8"/>
    </x:row>
    <x:row r="39" ht="28" customHeight="1">
      <x:c r="A39" s="14" t="n">
        <x:f>'看图清单'!A39</x:f>
        <x:v>38</x:v>
      </x:c>
      <x:c r="B39" s="14" t="str">
        <x:f>'看图清单'!B39</x:f>
        <x:v>Tier 1</x:v>
      </x:c>
      <x:c r="C39" s="14" t="str">
        <x:f>'看图清单'!C39</x:f>
        <x:v>爱蜜莉雅(Emilia)</x:v>
      </x:c>
      <x:c r="D39" s="14" t="str">
        <x:f>'看图清单'!D39</x:f>
        <x:v>Re:从零开始的异世界生活</x:v>
      </x:c>
      <x:c r="E39" s="8"/>
      <x:c r="F39" s="8"/>
      <x:c r="G39" s="8"/>
      <x:c r="H39" s="8"/>
    </x:row>
    <x:row r="40" ht="28" customHeight="1">
      <x:c r="A40" s="14" t="n">
        <x:f>'看图清单'!A40</x:f>
        <x:v>39</x:v>
      </x:c>
      <x:c r="B40" s="14" t="str">
        <x:f>'看图清单'!B40</x:f>
        <x:v>Tier 1</x:v>
      </x:c>
      <x:c r="C40" s="14" t="str">
        <x:f>'看图清单'!C40</x:f>
        <x:v>蕾姆 (Rem)</x:v>
      </x:c>
      <x:c r="D40" s="14" t="str">
        <x:f>'看图清单'!D40</x:f>
        <x:v>Re:从零开始的异世界生活</x:v>
      </x:c>
      <x:c r="E40" s="8"/>
      <x:c r="F40" s="8"/>
      <x:c r="G40" s="8"/>
      <x:c r="H40" s="8"/>
    </x:row>
    <x:row r="41" ht="28" customHeight="1">
      <x:c r="A41" s="14" t="n">
        <x:f>'看图清单'!A41</x:f>
        <x:v>40</x:v>
      </x:c>
      <x:c r="B41" s="14" t="str">
        <x:f>'看图清单'!B41</x:f>
        <x:v>Tier 1</x:v>
      </x:c>
      <x:c r="C41" s="14" t="str">
        <x:f>'看图清单'!C41</x:f>
        <x:v>樱岛麻衣 (MaiSakurajima)</x:v>
      </x:c>
      <x:c r="D41" s="14" t="str">
        <x:f>'看图清单'!D41</x:f>
        <x:v>青春猪头少年不会梦到兔女郎学姐</x:v>
      </x:c>
      <x:c r="E41" s="8"/>
      <x:c r="F41" s="8"/>
      <x:c r="G41" s="8"/>
      <x:c r="H41" s="8"/>
    </x:row>
    <x:row r="42" ht="28" customHeight="1">
      <x:c r="A42" s="14" t="n">
        <x:f>'看图清单'!A42</x:f>
        <x:v>41</x:v>
      </x:c>
      <x:c r="B42" s="14" t="str">
        <x:f>'看图清单'!B42</x:f>
        <x:v>Tier 2</x:v>
      </x:c>
      <x:c r="C42" s="14" t="str">
        <x:f>'看图清单'!C42</x:f>
        <x:v>油女志乃 (ShinoAburame)</x:v>
      </x:c>
      <x:c r="D42" s="14" t="str">
        <x:f>'看图清单'!D42</x:f>
        <x:v>火影忍者</x:v>
      </x:c>
      <x:c r="E42" s="8"/>
      <x:c r="F42" s="8"/>
      <x:c r="G42" s="8"/>
      <x:c r="H42" s="8"/>
    </x:row>
    <x:row r="43" ht="28" customHeight="1">
      <x:c r="A43" s="14" t="n">
        <x:f>'看图清单'!A43</x:f>
        <x:v>42</x:v>
      </x:c>
      <x:c r="B43" s="14" t="str">
        <x:f>'看图清单'!B43</x:f>
        <x:v>Tier 2</x:v>
      </x:c>
      <x:c r="C43" s="14" t="str">
        <x:f>'看图清单'!C43</x:f>
        <x:v>日向宁次 (NejiHyuga)</x:v>
      </x:c>
      <x:c r="D43" s="14" t="str">
        <x:f>'看图清单'!D43</x:f>
        <x:v>火影忍者</x:v>
      </x:c>
      <x:c r="E43" s="8"/>
      <x:c r="F43" s="8"/>
      <x:c r="G43" s="8"/>
      <x:c r="H43" s="8"/>
    </x:row>
    <x:row r="44" ht="28" customHeight="1">
      <x:c r="A44" s="14" t="n">
        <x:f>'看图清单'!A44</x:f>
        <x:v>43</x:v>
      </x:c>
      <x:c r="B44" s="14" t="str">
        <x:f>'看图清单'!B44</x:f>
        <x:v>Tier 2</x:v>
      </x:c>
      <x:c r="C44" s="14" t="str">
        <x:f>'看图清单'!C44</x:f>
        <x:v>干柿鬼鲛(KisameHoshigaki)</x:v>
      </x:c>
      <x:c r="D44" s="14" t="str">
        <x:f>'看图清单'!D44</x:f>
        <x:v>火影忍者</x:v>
      </x:c>
      <x:c r="E44" s="8"/>
      <x:c r="F44" s="8"/>
      <x:c r="G44" s="8"/>
      <x:c r="H44" s="8"/>
    </x:row>
    <x:row r="45" ht="28" customHeight="1">
      <x:c r="A45" s="14" t="n">
        <x:f>'看图清单'!A45</x:f>
        <x:v>44</x:v>
      </x:c>
      <x:c r="B45" s="14" t="str">
        <x:f>'看图清单'!B45</x:f>
        <x:v>Tier 2</x:v>
      </x:c>
      <x:c r="C45" s="14" t="str">
        <x:f>'看图清单'!C45</x:f>
        <x:v>迪达拉 (Deidara)</x:v>
      </x:c>
      <x:c r="D45" s="14" t="str">
        <x:f>'看图清单'!D45</x:f>
        <x:v>火影忍者</x:v>
      </x:c>
      <x:c r="E45" s="8"/>
      <x:c r="F45" s="8"/>
      <x:c r="G45" s="8"/>
      <x:c r="H45" s="8"/>
    </x:row>
    <x:row r="46" ht="28" customHeight="1">
      <x:c r="A46" s="14" t="n">
        <x:f>'看图清单'!A46</x:f>
        <x:v>45</x:v>
      </x:c>
      <x:c r="B46" s="14" t="str">
        <x:f>'看图清单'!B46</x:f>
        <x:v>Tier 2</x:v>
      </x:c>
      <x:c r="C46" s="14" t="str">
        <x:f>'看图清单'!C46</x:f>
        <x:v>乌尔奇奥拉(Ulquiorra Cifer)</x:v>
      </x:c>
      <x:c r="D46" s="14" t="str">
        <x:f>'看图清单'!D46</x:f>
        <x:v>死神</x:v>
      </x:c>
      <x:c r="E46" s="8"/>
      <x:c r="F46" s="8"/>
      <x:c r="G46" s="8"/>
      <x:c r="H46" s="8"/>
    </x:row>
    <x:row r="47" ht="28" customHeight="1">
      <x:c r="A47" s="14" t="n">
        <x:f>'看图清单'!A47</x:f>
        <x:v>46</x:v>
      </x:c>
      <x:c r="B47" s="14" t="str">
        <x:f>'看图清单'!B47</x:f>
        <x:v>Tier 2</x:v>
      </x:c>
      <x:c r="C47" s="14" t="str">
        <x:f>'看图清单'!C47</x:f>
        <x:v>碎蜂 (Soi-Fon)</x:v>
      </x:c>
      <x:c r="D47" s="14" t="str">
        <x:f>'看图清单'!D47</x:f>
        <x:v>死神</x:v>
      </x:c>
      <x:c r="E47" s="8"/>
      <x:c r="F47" s="8"/>
      <x:c r="G47" s="8"/>
      <x:c r="H47" s="8"/>
    </x:row>
    <x:row r="48" ht="28" customHeight="1">
      <x:c r="A48" s="14" t="n">
        <x:f>'看图清单'!A48</x:f>
        <x:v>47</x:v>
      </x:c>
      <x:c r="B48" s="14" t="str">
        <x:f>'看图清单'!B48</x:f>
        <x:v>Tier 2</x:v>
      </x:c>
      <x:c r="C48" s="14" t="str">
        <x:f>'看图清单'!C48</x:f>
        <x:v>涅茧利 (MayuriKurotsuchi)</x:v>
      </x:c>
      <x:c r="D48" s="14" t="str">
        <x:f>'看图清单'!D48</x:f>
        <x:v>死神</x:v>
      </x:c>
      <x:c r="E48" s="8"/>
      <x:c r="F48" s="8"/>
      <x:c r="G48" s="8"/>
      <x:c r="H48" s="8"/>
    </x:row>
    <x:row r="49" ht="28" customHeight="1">
      <x:c r="A49" s="14" t="n">
        <x:f>'看图清单'!A49</x:f>
        <x:v>48</x:v>
      </x:c>
      <x:c r="B49" s="14" t="str">
        <x:f>'看图清单'!B49</x:f>
        <x:v>Tier 2</x:v>
      </x:c>
      <x:c r="C49" s="14" t="str">
        <x:f>'看图清单'!C49</x:f>
        <x:v>狛村左阵 (SajinKomamura)</x:v>
      </x:c>
      <x:c r="D49" s="14" t="str">
        <x:f>'看图清单'!D49</x:f>
        <x:v>死神</x:v>
      </x:c>
      <x:c r="E49" s="8"/>
      <x:c r="F49" s="8"/>
      <x:c r="G49" s="8"/>
      <x:c r="H49" s="8"/>
    </x:row>
    <x:row r="50" ht="28" customHeight="1">
      <x:c r="A50" s="14" t="n">
        <x:f>'看图清单'!A50</x:f>
        <x:v>49</x:v>
      </x:c>
      <x:c r="B50" s="14" t="str">
        <x:f>'看图清单'!B50</x:f>
        <x:v>Tier 2</x:v>
      </x:c>
      <x:c r="C50" s="14" t="str">
        <x:f>'看图清单'!C50</x:f>
        <x:v>七海建人 (KentoNanami)</x:v>
      </x:c>
      <x:c r="D50" s="14" t="str">
        <x:f>'看图清单'!D50</x:f>
        <x:v>咒术回战</x:v>
      </x:c>
      <x:c r="E50" s="8"/>
      <x:c r="F50" s="8"/>
      <x:c r="G50" s="8"/>
      <x:c r="H50" s="8"/>
    </x:row>
    <x:row r="51" ht="28" customHeight="1">
      <x:c r="A51" s="14" t="n">
        <x:f>'看图清单'!A51</x:f>
        <x:v>50</x:v>
      </x:c>
      <x:c r="B51" s="14" t="str">
        <x:f>'看图清单'!B51</x:f>
        <x:v>Tier 2</x:v>
      </x:c>
      <x:c r="C51" s="14" t="str">
        <x:f>'看图清单'!C51</x:f>
        <x:v>禅院真希 (MakiZen'in)</x:v>
      </x:c>
      <x:c r="D51" s="14" t="str">
        <x:f>'看图清单'!D51</x:f>
        <x:v>咒术回战</x:v>
      </x:c>
      <x:c r="E51" s="8"/>
      <x:c r="F51" s="8"/>
      <x:c r="G51" s="8"/>
      <x:c r="H51" s="8"/>
    </x:row>
    <x:row r="52" ht="28" customHeight="1">
      <x:c r="A52" s="14" t="n">
        <x:f>'看图清单'!A52</x:f>
        <x:v>51</x:v>
      </x:c>
      <x:c r="B52" s="14" t="str">
        <x:f>'看图清单'!B52</x:f>
        <x:v>Tier 2</x:v>
      </x:c>
      <x:c r="C52" s="14" t="str">
        <x:f>'看图清单'!C52</x:f>
        <x:v>狗卷棘 (TogeInumaki)</x:v>
      </x:c>
      <x:c r="D52" s="14" t="str">
        <x:f>'看图清单'!D52</x:f>
        <x:v>咒术回战</x:v>
      </x:c>
      <x:c r="E52" s="8"/>
      <x:c r="F52" s="8"/>
      <x:c r="G52" s="8"/>
      <x:c r="H52" s="8"/>
    </x:row>
    <x:row r="53" ht="28" customHeight="1">
      <x:c r="A53" s="14" t="n">
        <x:f>'看图清单'!A53</x:f>
        <x:v>52</x:v>
      </x:c>
      <x:c r="B53" s="14" t="str">
        <x:f>'看图清单'!B53</x:f>
        <x:v>Tier 2</x:v>
      </x:c>
      <x:c r="C53" s="14" t="str">
        <x:f>'看图清单'!C53</x:f>
        <x:v>熊猫 (Panda)</x:v>
      </x:c>
      <x:c r="D53" s="14" t="str">
        <x:f>'看图清单'!D53</x:f>
        <x:v>咒术回战</x:v>
      </x:c>
      <x:c r="E53" s="8"/>
      <x:c r="F53" s="8"/>
      <x:c r="G53" s="8"/>
      <x:c r="H53" s="8"/>
    </x:row>
    <x:row r="54" ht="28" customHeight="1">
      <x:c r="A54" s="14" t="n">
        <x:f>'看图清单'!A54</x:f>
        <x:v>53</x:v>
      </x:c>
      <x:c r="B54" s="14" t="str">
        <x:f>'看图清单'!B54</x:f>
        <x:v>Tier 2</x:v>
      </x:c>
      <x:c r="C54" s="14" t="str">
        <x:f>'看图清单'!C54</x:f>
        <x:v>胀相 (Choso)</x:v>
      </x:c>
      <x:c r="D54" s="14" t="str">
        <x:f>'看图清单'!D54</x:f>
        <x:v>咒术回战</x:v>
      </x:c>
      <x:c r="E54" s="8"/>
      <x:c r="F54" s="8"/>
      <x:c r="G54" s="8"/>
      <x:c r="H54" s="8"/>
    </x:row>
    <x:row r="55" ht="28" customHeight="1">
      <x:c r="A55" s="14" t="n">
        <x:f>'看图清单'!A55</x:f>
        <x:v>54</x:v>
      </x:c>
      <x:c r="B55" s="14" t="str">
        <x:f>'看图清单'!B55</x:f>
        <x:v>Tier 2</x:v>
      </x:c>
      <x:c r="C55" s="14" t="str">
        <x:f>'看图清单'!C55</x:f>
        <x:v>漏瑚 (Jogo)</x:v>
      </x:c>
      <x:c r="D55" s="14" t="str">
        <x:f>'看图清单'!D55</x:f>
        <x:v>咒术回战</x:v>
      </x:c>
      <x:c r="E55" s="8"/>
      <x:c r="F55" s="8"/>
      <x:c r="G55" s="8"/>
      <x:c r="H55" s="8"/>
    </x:row>
    <x:row r="56" ht="28" customHeight="1">
      <x:c r="A56" s="14" t="n">
        <x:f>'看图清单'!A56</x:f>
        <x:v>55</x:v>
      </x:c>
      <x:c r="B56" s="14" t="str">
        <x:f>'看图清单'!B56</x:f>
        <x:v>Tier 2</x:v>
      </x:c>
      <x:c r="C56" s="14" t="str">
        <x:f>'看图清单'!C56</x:f>
        <x:v>真人 (Mahito)</x:v>
      </x:c>
      <x:c r="D56" s="14" t="str">
        <x:f>'看图清单'!D56</x:f>
        <x:v>咒术回战</x:v>
      </x:c>
      <x:c r="E56" s="8"/>
      <x:c r="F56" s="8"/>
      <x:c r="G56" s="8"/>
      <x:c r="H56" s="8"/>
    </x:row>
    <x:row r="57" ht="28" customHeight="1">
      <x:c r="A57" s="14" t="n">
        <x:f>'看图清单'!A57</x:f>
        <x:v>56</x:v>
      </x:c>
      <x:c r="B57" s="14" t="str">
        <x:f>'看图清单'!B57</x:f>
        <x:v>Tier 2</x:v>
      </x:c>
      <x:c r="C57" s="14" t="str">
        <x:f>'看图清单'!C57</x:f>
        <x:v>东堂葵 (AoiTodo)</x:v>
      </x:c>
      <x:c r="D57" s="14" t="str">
        <x:f>'看图清单'!D57</x:f>
        <x:v>咒术回战</x:v>
      </x:c>
      <x:c r="E57" s="8"/>
      <x:c r="F57" s="8"/>
      <x:c r="G57" s="8"/>
      <x:c r="H57" s="8"/>
    </x:row>
    <x:row r="58" ht="28" customHeight="1">
      <x:c r="A58" s="14" t="n">
        <x:f>'看图清单'!A58</x:f>
        <x:v>57</x:v>
      </x:c>
      <x:c r="B58" s="14" t="str">
        <x:f>'看图清单'!B58</x:f>
        <x:v>Tier 2</x:v>
      </x:c>
      <x:c r="C58" s="14" t="str">
        <x:f>'看图清单'!C58</x:f>
        <x:v>我妻善逸(ZenitsuAgatsuma)</x:v>
      </x:c>
      <x:c r="D58" s="14" t="str">
        <x:f>'看图清单'!D58</x:f>
        <x:v>鬼灭之刃</x:v>
      </x:c>
      <x:c r="E58" s="8"/>
      <x:c r="F58" s="8"/>
      <x:c r="G58" s="8"/>
      <x:c r="H58" s="8"/>
    </x:row>
    <x:row r="59" ht="28" customHeight="1">
      <x:c r="A59" s="14" t="n">
        <x:f>'看图清单'!A59</x:f>
        <x:v>58</x:v>
      </x:c>
      <x:c r="B59" s="14" t="str">
        <x:f>'看图清单'!B59</x:f>
        <x:v>Tier 2</x:v>
      </x:c>
      <x:c r="C59" s="14" t="str">
        <x:f>'看图清单'!C59</x:f>
        <x:v>嘴平伊之助(InosukeHashibira)</x:v>
      </x:c>
      <x:c r="D59" s="14" t="str">
        <x:f>'看图清单'!D59</x:f>
        <x:v>鬼灭之刃</x:v>
      </x:c>
      <x:c r="E59" s="8"/>
      <x:c r="F59" s="8"/>
      <x:c r="G59" s="8"/>
      <x:c r="H59" s="8"/>
    </x:row>
    <x:row r="60" ht="28" customHeight="1">
      <x:c r="A60" s="14" t="n">
        <x:f>'看图清单'!A60</x:f>
        <x:v>59</x:v>
      </x:c>
      <x:c r="B60" s="14" t="str">
        <x:f>'看图清单'!B60</x:f>
        <x:v>Tier 2</x:v>
      </x:c>
      <x:c r="C60" s="14" t="str">
        <x:f>'看图清单'!C60</x:f>
        <x:v>炼狱杏寿郎(KyojuroRengoku)</x:v>
      </x:c>
      <x:c r="D60" s="14" t="str">
        <x:f>'看图清单'!D60</x:f>
        <x:v>鬼灭之刃</x:v>
      </x:c>
      <x:c r="E60" s="8"/>
      <x:c r="F60" s="8"/>
      <x:c r="G60" s="8"/>
      <x:c r="H60" s="8"/>
    </x:row>
    <x:row r="61" ht="28" customHeight="1">
      <x:c r="A61" s="14" t="n">
        <x:f>'看图清单'!A61</x:f>
        <x:v>60</x:v>
      </x:c>
      <x:c r="B61" s="14" t="str">
        <x:f>'看图清单'!B61</x:f>
        <x:v>Tier 2</x:v>
      </x:c>
      <x:c r="C61" s="14" t="str">
        <x:f>'看图清单'!C61</x:f>
        <x:v>蝴蝶忍 (ShinobuKocho)</x:v>
      </x:c>
      <x:c r="D61" s="14" t="str">
        <x:f>'看图清单'!D61</x:f>
        <x:v>鬼灭之刃</x:v>
      </x:c>
      <x:c r="E61" s="8"/>
      <x:c r="F61" s="8"/>
      <x:c r="G61" s="8"/>
      <x:c r="H61" s="8"/>
    </x:row>
    <x:row r="62" ht="28" customHeight="1">
      <x:c r="A62" s="14" t="n">
        <x:f>'看图清单'!A62</x:f>
        <x:v>61</x:v>
      </x:c>
      <x:c r="B62" s="14" t="str">
        <x:f>'看图清单'!B62</x:f>
        <x:v>Tier 2</x:v>
      </x:c>
      <x:c r="C62" s="14" t="str">
        <x:f>'看图清单'!C62</x:f>
        <x:v>宇髓天元(Tengen Uzui)</x:v>
      </x:c>
      <x:c r="D62" s="14" t="str">
        <x:f>'看图清单'!D62</x:f>
        <x:v>鬼灭之刃</x:v>
      </x:c>
      <x:c r="E62" s="8"/>
      <x:c r="F62" s="8"/>
      <x:c r="G62" s="8"/>
      <x:c r="H62" s="8"/>
    </x:row>
    <x:row r="63" ht="28" customHeight="1">
      <x:c r="A63" s="14" t="n">
        <x:f>'看图清单'!A63</x:f>
        <x:v>62</x:v>
      </x:c>
      <x:c r="B63" s="14" t="str">
        <x:f>'看图清单'!B63</x:f>
        <x:v>Tier 2</x:v>
      </x:c>
      <x:c r="C63" s="14" t="str">
        <x:f>'看图清单'!C63</x:f>
        <x:v>富冈义勇 (GiyuTomioka)</x:v>
      </x:c>
      <x:c r="D63" s="14" t="str">
        <x:f>'看图清单'!D63</x:f>
        <x:v>鬼灭之刃</x:v>
      </x:c>
      <x:c r="E63" s="8"/>
      <x:c r="F63" s="8"/>
      <x:c r="G63" s="8"/>
      <x:c r="H63" s="8"/>
    </x:row>
    <x:row r="64" ht="28" customHeight="1">
      <x:c r="A64" s="14" t="n">
        <x:f>'看图清单'!A64</x:f>
        <x:v>63</x:v>
      </x:c>
      <x:c r="B64" s="14" t="str">
        <x:f>'看图清单'!B64</x:f>
        <x:v>Tier 2</x:v>
      </x:c>
      <x:c r="C64" s="14" t="str">
        <x:f>'看图清单'!C64</x:f>
        <x:v>时透无一郎(Muichiro Tokito)</x:v>
      </x:c>
      <x:c r="D64" s="14" t="str">
        <x:f>'看图清单'!D64</x:f>
        <x:v>鬼灭之刃</x:v>
      </x:c>
      <x:c r="E64" s="8"/>
      <x:c r="F64" s="8"/>
      <x:c r="G64" s="8"/>
      <x:c r="H64" s="8"/>
    </x:row>
    <x:row r="65" ht="28" customHeight="1">
      <x:c r="A65" s="14" t="n">
        <x:f>'看图清单'!A65</x:f>
        <x:v>64</x:v>
      </x:c>
      <x:c r="B65" s="14" t="str">
        <x:f>'看图清单'!B65</x:f>
        <x:v>Tier 2</x:v>
      </x:c>
      <x:c r="C65" s="14" t="str">
        <x:f>'看图清单'!C65</x:f>
        <x:v>悲鸣屿行冥(GyomeiHimejima)</x:v>
      </x:c>
      <x:c r="D65" s="14" t="str">
        <x:f>'看图清单'!D65</x:f>
        <x:v>鬼灭之刃</x:v>
      </x:c>
      <x:c r="E65" s="8"/>
      <x:c r="F65" s="8"/>
      <x:c r="G65" s="8"/>
      <x:c r="H65" s="8"/>
    </x:row>
    <x:row r="66" ht="28" customHeight="1">
      <x:c r="A66" s="14" t="n">
        <x:f>'看图清单'!A66</x:f>
        <x:v>65</x:v>
      </x:c>
      <x:c r="B66" s="14" t="str">
        <x:f>'看图清单'!B66</x:f>
        <x:v>Tier 2</x:v>
      </x:c>
      <x:c r="C66" s="14" t="str">
        <x:f>'看图清单'!C66</x:f>
        <x:v>甘露寺蜜璃(Mitsuri Kanroji)</x:v>
      </x:c>
      <x:c r="D66" s="14" t="str">
        <x:f>'看图清单'!D66</x:f>
        <x:v>鬼灭之刃</x:v>
      </x:c>
      <x:c r="E66" s="8"/>
      <x:c r="F66" s="8"/>
      <x:c r="G66" s="8"/>
      <x:c r="H66" s="8"/>
    </x:row>
    <x:row r="67" ht="28" customHeight="1">
      <x:c r="A67" s="14" t="n">
        <x:f>'看图清单'!A67</x:f>
        <x:v>66</x:v>
      </x:c>
      <x:c r="B67" s="14" t="str">
        <x:f>'看图清单'!B67</x:f>
        <x:v>Tier 2</x:v>
      </x:c>
      <x:c r="C67" s="14" t="str">
        <x:f>'看图清单'!C67</x:f>
        <x:v>鬼舞辻无惨(MuzanKibutsuji)</x:v>
      </x:c>
      <x:c r="D67" s="14" t="str">
        <x:f>'看图清单'!D67</x:f>
        <x:v>鬼灭之刃</x:v>
      </x:c>
      <x:c r="E67" s="8"/>
      <x:c r="F67" s="8"/>
      <x:c r="G67" s="8"/>
      <x:c r="H67" s="8"/>
    </x:row>
    <x:row r="68" ht="28" customHeight="1">
      <x:c r="A68" s="14" t="n">
        <x:f>'看图清单'!A68</x:f>
        <x:v>67</x:v>
      </x:c>
      <x:c r="B68" s="14" t="str">
        <x:f>'看图清单'!B68</x:f>
        <x:v>Tier 2</x:v>
      </x:c>
      <x:c r="C68" s="14" t="str">
        <x:f>'看图清单'!C68</x:f>
        <x:v>猗窝座 (Akaza)</x:v>
      </x:c>
      <x:c r="D68" s="14" t="str">
        <x:f>'看图清单'!D68</x:f>
        <x:v>鬼灭之刃</x:v>
      </x:c>
      <x:c r="E68" s="8"/>
      <x:c r="F68" s="8"/>
      <x:c r="G68" s="8"/>
      <x:c r="H68" s="8"/>
    </x:row>
    <x:row r="69" ht="28" customHeight="1">
      <x:c r="A69" s="14" t="n">
        <x:f>'看图清单'!A69</x:f>
        <x:v>68</x:v>
      </x:c>
      <x:c r="B69" s="14" t="str">
        <x:f>'看图清单'!B69</x:f>
        <x:v>Tier 2</x:v>
      </x:c>
      <x:c r="C69" s="14" t="str">
        <x:f>'看图清单'!C69</x:f>
        <x:v>童磨 (Doma)</x:v>
      </x:c>
      <x:c r="D69" s="14" t="str">
        <x:f>'看图清单'!D69</x:f>
        <x:v>鬼灭之刃</x:v>
      </x:c>
      <x:c r="E69" s="8"/>
      <x:c r="F69" s="8"/>
      <x:c r="G69" s="8"/>
      <x:c r="H69" s="8"/>
    </x:row>
    <x:row r="70" ht="28" customHeight="1">
      <x:c r="A70" s="14" t="n">
        <x:f>'看图清单'!A70</x:f>
        <x:v>69</x:v>
      </x:c>
      <x:c r="B70" s="14" t="str">
        <x:f>'看图清单'!B70</x:f>
        <x:v>Tier 2</x:v>
      </x:c>
      <x:c r="C70" s="14" t="str">
        <x:f>'看图清单'!C70</x:f>
        <x:v>乌索普 (Usopp)</x:v>
      </x:c>
      <x:c r="D70" s="14" t="str">
        <x:f>'看图清单'!D70</x:f>
        <x:v>海贼王</x:v>
      </x:c>
      <x:c r="E70" s="8"/>
      <x:c r="F70" s="8"/>
      <x:c r="G70" s="8"/>
      <x:c r="H70" s="8"/>
    </x:row>
    <x:row r="71" ht="28" customHeight="1">
      <x:c r="A71" s="14" t="n">
        <x:f>'看图清单'!A71</x:f>
        <x:v>70</x:v>
      </x:c>
      <x:c r="B71" s="14" t="str">
        <x:f>'看图清单'!B71</x:f>
        <x:v>Tier 2</x:v>
      </x:c>
      <x:c r="C71" s="14" t="str">
        <x:f>'看图清单'!C71</x:f>
        <x:v>托尼托尼·乔巴(Tony Chopper)</x:v>
      </x:c>
      <x:c r="D71" s="14" t="str">
        <x:f>'看图清单'!D71</x:f>
        <x:v>海贼王</x:v>
      </x:c>
      <x:c r="E71" s="8"/>
      <x:c r="F71" s="8"/>
      <x:c r="G71" s="8"/>
      <x:c r="H71" s="8"/>
    </x:row>
    <x:row r="72" ht="28" customHeight="1">
      <x:c r="A72" s="14" t="n">
        <x:f>'看图清单'!A72</x:f>
        <x:v>71</x:v>
      </x:c>
      <x:c r="B72" s="14" t="str">
        <x:f>'看图清单'!B72</x:f>
        <x:v>Tier 2</x:v>
      </x:c>
      <x:c r="C72" s="14" t="str">
        <x:f>'看图清单'!C72</x:f>
        <x:v>妮可·罗宾 (NicoRobin)</x:v>
      </x:c>
      <x:c r="D72" s="14" t="str">
        <x:f>'看图清单'!D72</x:f>
        <x:v>海贼王</x:v>
      </x:c>
      <x:c r="E72" s="8"/>
      <x:c r="F72" s="8"/>
      <x:c r="G72" s="8"/>
      <x:c r="H72" s="8"/>
    </x:row>
    <x:row r="73" ht="28" customHeight="1">
      <x:c r="A73" s="14" t="n">
        <x:f>'看图清单'!A73</x:f>
        <x:v>72</x:v>
      </x:c>
      <x:c r="B73" s="14" t="str">
        <x:f>'看图清单'!B73</x:f>
        <x:v>Tier 2</x:v>
      </x:c>
      <x:c r="C73" s="14" t="str">
        <x:f>'看图清单'!C73</x:f>
        <x:v>弗兰奇 (Franky)</x:v>
      </x:c>
      <x:c r="D73" s="14" t="str">
        <x:f>'看图清单'!D73</x:f>
        <x:v>海贼王</x:v>
      </x:c>
      <x:c r="E73" s="8"/>
      <x:c r="F73" s="8"/>
      <x:c r="G73" s="8"/>
      <x:c r="H73" s="8"/>
    </x:row>
    <x:row r="74" ht="28" customHeight="1">
      <x:c r="A74" s="14" t="n">
        <x:f>'看图清单'!A74</x:f>
        <x:v>73</x:v>
      </x:c>
      <x:c r="B74" s="14" t="str">
        <x:f>'看图清单'!B74</x:f>
        <x:v>Tier 2</x:v>
      </x:c>
      <x:c r="C74" s="14" t="str">
        <x:f>'看图清单'!C74</x:f>
        <x:v>布鲁克 (Brook)</x:v>
      </x:c>
      <x:c r="D74" s="14" t="str">
        <x:f>'看图清单'!D74</x:f>
        <x:v>海贼王</x:v>
      </x:c>
      <x:c r="E74" s="8"/>
      <x:c r="F74" s="8"/>
      <x:c r="G74" s="8"/>
      <x:c r="H74" s="8"/>
    </x:row>
    <x:row r="75" ht="28" customHeight="1">
      <x:c r="A75" s="14" t="n">
        <x:f>'看图清单'!A75</x:f>
        <x:v>74</x:v>
      </x:c>
      <x:c r="B75" s="14" t="str">
        <x:f>'看图清单'!B75</x:f>
        <x:v>Tier 2</x:v>
      </x:c>
      <x:c r="C75" s="14" t="str">
        <x:f>'看图清单'!C75</x:f>
        <x:v>甚平 (Jinbe)</x:v>
      </x:c>
      <x:c r="D75" s="14" t="str">
        <x:f>'看图清单'!D75</x:f>
        <x:v>海贼王</x:v>
      </x:c>
      <x:c r="E75" s="8"/>
      <x:c r="F75" s="8"/>
      <x:c r="G75" s="8"/>
      <x:c r="H75" s="8"/>
    </x:row>
    <x:row r="76" ht="28" customHeight="1">
      <x:c r="A76" s="14" t="n">
        <x:f>'看图清单'!A76</x:f>
        <x:v>75</x:v>
      </x:c>
      <x:c r="B76" s="14" t="str">
        <x:f>'看图清单'!B76</x:f>
        <x:v>Tier 2</x:v>
      </x:c>
      <x:c r="C76" s="14" t="str">
        <x:f>'看图清单'!C76</x:f>
        <x:v>特拉法尔加·罗(Trafalgar Law)</x:v>
      </x:c>
      <x:c r="D76" s="14" t="str">
        <x:f>'看图清单'!D76</x:f>
        <x:v>海贼王</x:v>
      </x:c>
      <x:c r="E76" s="8"/>
      <x:c r="F76" s="8"/>
      <x:c r="G76" s="8"/>
      <x:c r="H76" s="8"/>
    </x:row>
    <x:row r="77" ht="28" customHeight="1">
      <x:c r="A77" s="14" t="n">
        <x:f>'看图清单'!A77</x:f>
        <x:v>76</x:v>
      </x:c>
      <x:c r="B77" s="14" t="str">
        <x:f>'看图清单'!B77</x:f>
        <x:v>Tier 2</x:v>
      </x:c>
      <x:c r="C77" s="14" t="str">
        <x:f>'看图清单'!C77</x:f>
        <x:v>波雅·汉库克(Boa Hancock)</x:v>
      </x:c>
      <x:c r="D77" s="14" t="str">
        <x:f>'看图清单'!D77</x:f>
        <x:v>海贼王</x:v>
      </x:c>
      <x:c r="E77" s="8"/>
      <x:c r="F77" s="8"/>
      <x:c r="G77" s="8"/>
      <x:c r="H77" s="8"/>
    </x:row>
    <x:row r="78" ht="28" customHeight="1">
      <x:c r="A78" s="14" t="n">
        <x:f>'看图清单'!A78</x:f>
        <x:v>77</x:v>
      </x:c>
      <x:c r="B78" s="14" t="str">
        <x:f>'看图清单'!B78</x:f>
        <x:v>Tier 2</x:v>
      </x:c>
      <x:c r="C78" s="14" t="str">
        <x:f>'看图清单'!C78</x:f>
        <x:v>冯·克雷 (Mr. 2Bon Clay)</x:v>
      </x:c>
      <x:c r="D78" s="14" t="str">
        <x:f>'看图清单'!D78</x:f>
        <x:v>海贼王</x:v>
      </x:c>
      <x:c r="E78" s="8"/>
      <x:c r="F78" s="8"/>
      <x:c r="G78" s="8"/>
      <x:c r="H78" s="8"/>
    </x:row>
    <x:row r="79" ht="28" customHeight="1">
      <x:c r="A79" s="14" t="n">
        <x:f>'看图清单'!A79</x:f>
        <x:v>78</x:v>
      </x:c>
      <x:c r="B79" s="14" t="str">
        <x:f>'看图清单'!B79</x:f>
        <x:v>Tier 2</x:v>
      </x:c>
      <x:c r="C79" s="14" t="str">
        <x:f>'看图清单'!C79</x:f>
        <x:v>香克斯 (Shanks)</x:v>
      </x:c>
      <x:c r="D79" s="14" t="str">
        <x:f>'看图清单'!D79</x:f>
        <x:v>海贼王</x:v>
      </x:c>
      <x:c r="E79" s="8"/>
      <x:c r="F79" s="8"/>
      <x:c r="G79" s="8"/>
      <x:c r="H79" s="8"/>
    </x:row>
    <x:row r="80" ht="28" customHeight="1">
      <x:c r="A80" s="14" t="n">
        <x:f>'看图清单'!A80</x:f>
        <x:v>79</x:v>
      </x:c>
      <x:c r="B80" s="14" t="str">
        <x:f>'看图清单'!B80</x:f>
        <x:v>Tier 2</x:v>
      </x:c>
      <x:c r="C80" s="14" t="str">
        <x:f>'看图清单'!C80</x:f>
        <x:v>爱德华·纽盖特(Whitebeard)</x:v>
      </x:c>
      <x:c r="D80" s="14" t="str">
        <x:f>'看图清单'!D80</x:f>
        <x:v>海贼王</x:v>
      </x:c>
      <x:c r="E80" s="8"/>
      <x:c r="F80" s="8"/>
      <x:c r="G80" s="8"/>
      <x:c r="H80" s="8"/>
    </x:row>
    <x:row r="81" ht="28" customHeight="1">
      <x:c r="A81" s="14" t="n">
        <x:f>'看图清单'!A81</x:f>
        <x:v>80</x:v>
      </x:c>
      <x:c r="B81" s="14" t="str">
        <x:f>'看图清单'!B81</x:f>
        <x:v>Tier 2</x:v>
      </x:c>
      <x:c r="C81" s="14" t="str">
        <x:f>'看图清单'!C81</x:f>
        <x:v>卡塔库栗(CharlotteKatakuri)</x:v>
      </x:c>
      <x:c r="D81" s="14" t="str">
        <x:f>'看图清单'!D81</x:f>
        <x:v>海贼王</x:v>
      </x:c>
      <x:c r="E81" s="8"/>
      <x:c r="F81" s="8"/>
      <x:c r="G81" s="8"/>
      <x:c r="H81" s="8"/>
    </x:row>
    <x:row r="82" ht="28" customHeight="1">
      <x:c r="A82" s="14" t="n">
        <x:f>'看图清单'!A82</x:f>
        <x:v>81</x:v>
      </x:c>
      <x:c r="B82" s="14" t="str">
        <x:f>'看图清单'!B82</x:f>
        <x:v>Tier 2</x:v>
      </x:c>
      <x:c r="C82" s="14" t="str">
        <x:f>'看图清单'!C82</x:f>
        <x:v>蛙吹梅雨 (TsuyuAsui)</x:v>
      </x:c>
      <x:c r="D82" s="14" t="str">
        <x:f>'看图清单'!D82</x:f>
        <x:v>我的英雄学院</x:v>
      </x:c>
      <x:c r="E82" s="8"/>
      <x:c r="F82" s="8"/>
      <x:c r="G82" s="8"/>
      <x:c r="H82" s="8"/>
    </x:row>
    <x:row r="83" ht="28" customHeight="1">
      <x:c r="A83" s="14" t="n">
        <x:f>'看图清单'!A83</x:f>
        <x:v>82</x:v>
      </x:c>
      <x:c r="B83" s="14" t="str">
        <x:f>'看图清单'!B83</x:f>
        <x:v>Tier 2</x:v>
      </x:c>
      <x:c r="C83" s="14" t="str">
        <x:f>'看图清单'!C83</x:f>
        <x:v>轰焦冻 (ShotoTodoroki)</x:v>
      </x:c>
      <x:c r="D83" s="14" t="str">
        <x:f>'看图清单'!D83</x:f>
        <x:v>我的英雄学院</x:v>
      </x:c>
      <x:c r="E83" s="8"/>
      <x:c r="F83" s="8"/>
      <x:c r="G83" s="8"/>
      <x:c r="H83" s="8"/>
    </x:row>
    <x:row r="84" ht="28" customHeight="1">
      <x:c r="A84" s="14" t="n">
        <x:f>'看图清单'!A84</x:f>
        <x:v>83</x:v>
      </x:c>
      <x:c r="B84" s="14" t="str">
        <x:f>'看图清单'!B84</x:f>
        <x:v>Tier 2</x:v>
      </x:c>
      <x:c r="C84" s="14" t="str">
        <x:f>'看图清单'!C84</x:f>
        <x:v>欧尔麦特 (AllMight)</x:v>
      </x:c>
      <x:c r="D84" s="14" t="str">
        <x:f>'看图清单'!D84</x:f>
        <x:v>我的英雄学院</x:v>
      </x:c>
      <x:c r="E84" s="8"/>
      <x:c r="F84" s="8"/>
      <x:c r="G84" s="8"/>
      <x:c r="H84" s="8"/>
    </x:row>
    <x:row r="85" ht="28" customHeight="1">
      <x:c r="A85" s="14" t="n">
        <x:f>'看图清单'!A85</x:f>
        <x:v>84</x:v>
      </x:c>
      <x:c r="B85" s="14" t="str">
        <x:f>'看图清单'!B85</x:f>
        <x:v>Tier 2</x:v>
      </x:c>
      <x:c r="C85" s="14" t="str">
        <x:f>'看图清单'!C85</x:f>
        <x:v>死柄木吊(TomuraShigaraki)</x:v>
      </x:c>
      <x:c r="D85" s="14" t="str">
        <x:f>'看图清单'!D85</x:f>
        <x:v>我的英雄学院</x:v>
      </x:c>
      <x:c r="E85" s="8"/>
      <x:c r="F85" s="8"/>
      <x:c r="G85" s="8"/>
      <x:c r="H85" s="8"/>
    </x:row>
    <x:row r="86" ht="28" customHeight="1">
      <x:c r="A86" s="14" t="n">
        <x:f>'看图清单'!A86</x:f>
        <x:v>85</x:v>
      </x:c>
      <x:c r="B86" s="14" t="str">
        <x:f>'看图清单'!B86</x:f>
        <x:v>Tier 2</x:v>
      </x:c>
      <x:c r="C86" s="14" t="str">
        <x:f>'看图清单'!C86</x:f>
        <x:v>渡我被身子(Himiko Toga)</x:v>
      </x:c>
      <x:c r="D86" s="14" t="str">
        <x:f>'看图清单'!D86</x:f>
        <x:v>我的英雄学院</x:v>
      </x:c>
      <x:c r="E86" s="8"/>
      <x:c r="F86" s="8"/>
      <x:c r="G86" s="8"/>
      <x:c r="H86" s="8"/>
    </x:row>
    <x:row r="87" ht="28" customHeight="1">
      <x:c r="A87" s="14" t="n">
        <x:f>'看图清单'!A87</x:f>
        <x:v>86</x:v>
      </x:c>
      <x:c r="B87" s="14" t="str">
        <x:f>'看图清单'!B87</x:f>
        <x:v>Tier 2</x:v>
      </x:c>
      <x:c r="C87" s="14" t="str">
        <x:f>'看图清单'!C87</x:f>
        <x:v>切岛锐儿郎(Eijiro Kirishima)</x:v>
      </x:c>
      <x:c r="D87" s="14" t="str">
        <x:f>'看图清单'!D87</x:f>
        <x:v>我的英雄学院</x:v>
      </x:c>
      <x:c r="E87" s="8"/>
      <x:c r="F87" s="8"/>
      <x:c r="G87" s="8"/>
      <x:c r="H87" s="8"/>
    </x:row>
    <x:row r="88" ht="28" customHeight="1">
      <x:c r="A88" s="14" t="n">
        <x:f>'看图清单'!A88</x:f>
        <x:v>87</x:v>
      </x:c>
      <x:c r="B88" s="14" t="str">
        <x:f>'看图清单'!B88</x:f>
        <x:v>Tier 2</x:v>
      </x:c>
      <x:c r="C88" s="14" t="str">
        <x:f>'看图清单'!C88</x:f>
        <x:v>丽日御茶子(OchacoUraraka)</x:v>
      </x:c>
      <x:c r="D88" s="14" t="str">
        <x:f>'看图清单'!D88</x:f>
        <x:v>我的英雄学院</x:v>
      </x:c>
      <x:c r="E88" s="8"/>
      <x:c r="F88" s="8"/>
      <x:c r="G88" s="8"/>
      <x:c r="H88" s="8"/>
    </x:row>
    <x:row r="89" ht="28" customHeight="1">
      <x:c r="A89" s="14" t="n">
        <x:f>'看图清单'!A89</x:f>
        <x:v>88</x:v>
      </x:c>
      <x:c r="B89" s="14" t="str">
        <x:f>'看图清单'!B89</x:f>
        <x:v>Tier 2</x:v>
      </x:c>
      <x:c r="C89" s="14" t="str">
        <x:f>'看图清单'!C89</x:f>
        <x:v>霍克斯 (Hawks)</x:v>
      </x:c>
      <x:c r="D89" s="14" t="str">
        <x:f>'看图清单'!D89</x:f>
        <x:v>我的英雄学院</x:v>
      </x:c>
      <x:c r="E89" s="8"/>
      <x:c r="F89" s="8"/>
      <x:c r="G89" s="8"/>
      <x:c r="H89" s="8"/>
    </x:row>
    <x:row r="90" ht="28" customHeight="1">
      <x:c r="A90" s="14" t="n">
        <x:f>'看图清单'!A90</x:f>
        <x:v>89</x:v>
      </x:c>
      <x:c r="B90" s="14" t="str">
        <x:f>'看图清单'!B90</x:f>
        <x:v>Tier 2</x:v>
      </x:c>
      <x:c r="C90" s="14" t="str">
        <x:f>'看图清单'!C90</x:f>
        <x:v>纳甘夫人 (LadyNagant)</x:v>
      </x:c>
      <x:c r="D90" s="14" t="str">
        <x:f>'看图清单'!D90</x:f>
        <x:v>我的英雄学院</x:v>
      </x:c>
      <x:c r="E90" s="8"/>
      <x:c r="F90" s="8"/>
      <x:c r="G90" s="8"/>
      <x:c r="H90" s="8"/>
    </x:row>
    <x:row r="91" ht="28" customHeight="1">
      <x:c r="A91" s="14" t="n">
        <x:f>'看图清单'!A91</x:f>
        <x:v>90</x:v>
      </x:c>
      <x:c r="B91" s="14" t="str">
        <x:f>'看图清单'!B91</x:f>
        <x:v>Tier 2</x:v>
      </x:c>
      <x:c r="C91" s="14" t="str">
        <x:f>'看图清单'!C91</x:f>
        <x:v>麦野沈利(Shizuri Mugino)</x:v>
      </x:c>
      <x:c r="D91" s="14" t="str">
        <x:f>'看图清单'!D91</x:f>
        <x:v>魔法禁书目录</x:v>
      </x:c>
      <x:c r="E91" s="8"/>
      <x:c r="F91" s="8"/>
      <x:c r="G91" s="8"/>
      <x:c r="H91" s="8"/>
    </x:row>
    <x:row r="92" ht="28" customHeight="1">
      <x:c r="A92" s="14" t="n">
        <x:f>'看图清单'!A92</x:f>
        <x:v>91</x:v>
      </x:c>
      <x:c r="B92" s="14" t="str">
        <x:f>'看图清单'!B92</x:f>
        <x:v>Tier 2</x:v>
      </x:c>
      <x:c r="C92" s="14" t="str">
        <x:f>'看图清单'!C92</x:f>
        <x:v>一方通行(Accelerator)</x:v>
      </x:c>
      <x:c r="D92" s="14" t="str">
        <x:f>'看图清单'!D92</x:f>
        <x:v>魔法禁书目录</x:v>
      </x:c>
      <x:c r="E92" s="8"/>
      <x:c r="F92" s="8"/>
      <x:c r="G92" s="8"/>
      <x:c r="H92" s="8"/>
    </x:row>
    <x:row r="93" ht="28" customHeight="1">
      <x:c r="A93" s="14" t="n">
        <x:f>'看图清单'!A93</x:f>
        <x:v>92</x:v>
      </x:c>
      <x:c r="B93" s="14" t="str">
        <x:f>'看图清单'!B93</x:f>
        <x:v>Tier 2</x:v>
      </x:c>
      <x:c r="C93" s="14" t="str">
        <x:f>'看图清单'!C93</x:f>
        <x:v>罗伊·马斯坦(Roy Mustang)</x:v>
      </x:c>
      <x:c r="D93" s="14" t="str">
        <x:f>'看图清单'!D93</x:f>
        <x:v>钢之炼金术师</x:v>
      </x:c>
      <x:c r="E93" s="8"/>
      <x:c r="F93" s="8"/>
      <x:c r="G93" s="8"/>
      <x:c r="H93" s="8"/>
    </x:row>
    <x:row r="94" ht="28" customHeight="1">
      <x:c r="A94" s="14" t="n">
        <x:f>'看图清单'!A94</x:f>
        <x:v>93</x:v>
      </x:c>
      <x:c r="B94" s="14" t="str">
        <x:f>'看图清单'!B94</x:f>
        <x:v>Tier 2</x:v>
      </x:c>
      <x:c r="C94" s="14" t="str">
        <x:f>'看图清单'!C94</x:f>
        <x:v>利威尔 (LeviAckerman)</x:v>
      </x:c>
      <x:c r="D94" s="14" t="str">
        <x:f>'看图清单'!D94</x:f>
        <x:v>进击的巨人</x:v>
      </x:c>
      <x:c r="E94" s="8"/>
      <x:c r="F94" s="8"/>
      <x:c r="G94" s="8"/>
      <x:c r="H94" s="8"/>
    </x:row>
    <x:row r="95" ht="28" customHeight="1">
      <x:c r="A95" s="14" t="n">
        <x:f>'看图清单'!A95</x:f>
        <x:v>94</x:v>
      </x:c>
      <x:c r="B95" s="14" t="str">
        <x:f>'看图清单'!B95</x:f>
        <x:v>Tier 2</x:v>
      </x:c>
      <x:c r="C95" s="14" t="str">
        <x:f>'看图清单'!C95</x:f>
        <x:v>三笠·阿克曼(MikasaAckerman)</x:v>
      </x:c>
      <x:c r="D95" s="14" t="str">
        <x:f>'看图清单'!D95</x:f>
        <x:v>进击的巨人</x:v>
      </x:c>
      <x:c r="E95" s="8"/>
      <x:c r="F95" s="8"/>
      <x:c r="G95" s="8"/>
      <x:c r="H95" s="8"/>
    </x:row>
    <x:row r="96" ht="28" customHeight="1">
      <x:c r="A96" s="14" t="n">
        <x:f>'看图清单'!A96</x:f>
        <x:v>95</x:v>
      </x:c>
      <x:c r="B96" s="14" t="str">
        <x:f>'看图清单'!B96</x:f>
        <x:v>Tier 2</x:v>
      </x:c>
      <x:c r="C96" s="14" t="str">
        <x:f>'看图清单'!C96</x:f>
        <x:v>韩吉·佐耶(Hange Zoe)</x:v>
      </x:c>
      <x:c r="D96" s="14" t="str">
        <x:f>'看图清单'!D96</x:f>
        <x:v>进击的巨人</x:v>
      </x:c>
      <x:c r="E96" s="8"/>
      <x:c r="F96" s="8"/>
      <x:c r="G96" s="8"/>
      <x:c r="H96" s="8"/>
    </x:row>
    <x:row r="97" ht="28" customHeight="1">
      <x:c r="A97" s="14" t="n">
        <x:f>'看图清单'!A97</x:f>
        <x:v>96</x:v>
      </x:c>
      <x:c r="B97" s="14" t="str">
        <x:f>'看图清单'!B97</x:f>
        <x:v>Tier 2</x:v>
      </x:c>
      <x:c r="C97" s="14" t="str">
        <x:f>'看图清单'!C97</x:f>
        <x:v>太宰治 (OsamuDazai)</x:v>
      </x:c>
      <x:c r="D97" s="14" t="str">
        <x:f>'看图清单'!D97</x:f>
        <x:v>文豪野犬</x:v>
      </x:c>
      <x:c r="E97" s="8"/>
      <x:c r="F97" s="8"/>
      <x:c r="G97" s="8"/>
      <x:c r="H97" s="8"/>
    </x:row>
    <x:row r="98" ht="28" customHeight="1">
      <x:c r="A98" s="14" t="n">
        <x:f>'看图清单'!A98</x:f>
        <x:v>97</x:v>
      </x:c>
      <x:c r="B98" s="14" t="str">
        <x:f>'看图清单'!B98</x:f>
        <x:v>Tier 2</x:v>
      </x:c>
      <x:c r="C98" s="14" t="str">
        <x:f>'看图清单'!C98</x:f>
        <x:v>中原中也 (ChuyaNakahara)</x:v>
      </x:c>
      <x:c r="D98" s="14" t="str">
        <x:f>'看图清单'!D98</x:f>
        <x:v>文豪野犬</x:v>
      </x:c>
      <x:c r="E98" s="8"/>
      <x:c r="F98" s="8"/>
      <x:c r="G98" s="8"/>
      <x:c r="H98" s="8"/>
    </x:row>
    <x:row r="99" ht="28" customHeight="1">
      <x:c r="A99" s="14" t="n">
        <x:f>'看图清单'!A99</x:f>
        <x:v>98</x:v>
      </x:c>
      <x:c r="B99" s="14" t="str">
        <x:f>'看图清单'!B99</x:f>
        <x:v>Tier 2</x:v>
      </x:c>
      <x:c r="C99" s="14" t="str">
        <x:f>'看图清单'!C99</x:f>
        <x:v>芥川龙之介(RyunosukeAkutagawa)</x:v>
      </x:c>
      <x:c r="D99" s="14" t="str">
        <x:f>'看图清单'!D99</x:f>
        <x:v>文豪野犬</x:v>
      </x:c>
      <x:c r="E99" s="8"/>
      <x:c r="F99" s="8"/>
      <x:c r="G99" s="8"/>
      <x:c r="H99" s="8"/>
    </x:row>
    <x:row r="100" ht="28" customHeight="1">
      <x:c r="A100" s="14" t="n">
        <x:f>'看图清单'!A100</x:f>
        <x:v>99</x:v>
      </x:c>
      <x:c r="B100" s="14" t="str">
        <x:f>'看图清单'!B100</x:f>
        <x:v>Tier 2</x:v>
      </x:c>
      <x:c r="C100" s="14" t="str">
        <x:f>'看图清单'!C100</x:f>
        <x:v>梅路艾姆(Meruem)</x:v>
      </x:c>
      <x:c r="D100" s="14" t="str">
        <x:f>'看图清单'!D100</x:f>
        <x:v>全职猎人</x:v>
      </x:c>
      <x:c r="E100" s="8"/>
      <x:c r="F100" s="8"/>
      <x:c r="G100" s="8"/>
      <x:c r="H100" s="8"/>
    </x:row>
    <x:row r="101" ht="28" customHeight="1">
      <x:c r="A101" s="14" t="n">
        <x:f>'看图清单'!A101</x:f>
        <x:v>100</x:v>
      </x:c>
      <x:c r="B101" s="14" t="str">
        <x:f>'看图清单'!B101</x:f>
        <x:v>Tier 2</x:v>
      </x:c>
      <x:c r="C101" s="14" t="str">
        <x:f>'看图清单'!C101</x:f>
        <x:v>尼飞彼多(Neferpitou)</x:v>
      </x:c>
      <x:c r="D101" s="14" t="str">
        <x:f>'看图清单'!D101</x:f>
        <x:v>全职猎人</x:v>
      </x:c>
      <x:c r="E101" s="8"/>
      <x:c r="F101" s="8"/>
      <x:c r="G101" s="8"/>
      <x:c r="H101" s="8"/>
    </x:row>
    <x:row r="102" ht="28" customHeight="1">
      <x:c r="A102" s="14" t="n">
        <x:f>'看图清单'!A102</x:f>
        <x:v>101</x:v>
      </x:c>
      <x:c r="B102" s="14" t="str">
        <x:f>'看图清单'!B102</x:f>
        <x:v>Tier 2</x:v>
      </x:c>
      <x:c r="C102" s="14" t="str">
        <x:f>'看图清单'!C102</x:f>
        <x:v>西索 (HisokaMorow)</x:v>
      </x:c>
      <x:c r="D102" s="14" t="str">
        <x:f>'看图清单'!D102</x:f>
        <x:v>全职猎人</x:v>
      </x:c>
      <x:c r="E102" s="8"/>
      <x:c r="F102" s="8"/>
      <x:c r="G102" s="8"/>
      <x:c r="H102" s="8"/>
    </x:row>
    <x:row r="103" ht="28" customHeight="1">
      <x:c r="A103" s="14" t="n">
        <x:f>'看图清单'!A103</x:f>
        <x:v>102</x:v>
      </x:c>
      <x:c r="B103" s="14" t="str">
        <x:f>'看图清单'!B103</x:f>
        <x:v>Tier 2</x:v>
      </x:c>
      <x:c r="C103" s="14" t="str">
        <x:f>'看图清单'!C103</x:f>
        <x:v>酷拉皮卡(Kurapika)</x:v>
      </x:c>
      <x:c r="D103" s="14" t="str">
        <x:f>'看图清单'!D103</x:f>
        <x:v>全职猎人</x:v>
      </x:c>
      <x:c r="E103" s="8"/>
      <x:c r="F103" s="8"/>
      <x:c r="G103" s="8"/>
      <x:c r="H103" s="8"/>
    </x:row>
    <x:row r="104" ht="28" customHeight="1">
      <x:c r="A104" s="14" t="n">
        <x:f>'看图清单'!A104</x:f>
        <x:v>103</x:v>
      </x:c>
      <x:c r="B104" s="14" t="str">
        <x:f>'看图清单'!B104</x:f>
        <x:v>Tier 2</x:v>
      </x:c>
      <x:c r="C104" s="14" t="str">
        <x:f>'看图清单'!C104</x:f>
        <x:v>奇犽 (KilluaZoldyck)</x:v>
      </x:c>
      <x:c r="D104" s="14" t="str">
        <x:f>'看图清单'!D104</x:f>
        <x:v>全职猎人</x:v>
      </x:c>
      <x:c r="E104" s="8"/>
      <x:c r="F104" s="8"/>
      <x:c r="G104" s="8"/>
      <x:c r="H104" s="8"/>
    </x:row>
    <x:row r="105" ht="28" customHeight="1">
      <x:c r="A105" s="14" t="n">
        <x:f>'看图清单'!A105</x:f>
        <x:v>104</x:v>
      </x:c>
      <x:c r="B105" s="14" t="str">
        <x:f>'看图清单'!B105</x:f>
        <x:v>Tier 2</x:v>
      </x:c>
      <x:c r="C105" s="14" t="str">
        <x:f>'看图清单'!C105</x:f>
        <x:v>本条二亚 (NiaHonjou)</x:v>
      </x:c>
      <x:c r="D105" s="14" t="str">
        <x:f>'看图清单'!D105</x:f>
        <x:v>约会大作战</x:v>
      </x:c>
      <x:c r="E105" s="8"/>
      <x:c r="F105" s="8"/>
      <x:c r="G105" s="8"/>
      <x:c r="H105" s="8"/>
    </x:row>
    <x:row r="106" ht="28" customHeight="1">
      <x:c r="A106" s="14" t="n">
        <x:f>'看图清单'!A106</x:f>
        <x:v>105</x:v>
      </x:c>
      <x:c r="B106" s="14" t="str">
        <x:f>'看图清单'!B106</x:f>
        <x:v>Tier 2</x:v>
      </x:c>
      <x:c r="C106" s="14" t="str">
        <x:f>'看图清单'!C106</x:f>
        <x:v>阿尔敏 (ArminArlert)</x:v>
      </x:c>
      <x:c r="D106" s="14" t="str">
        <x:f>'看图清单'!D106</x:f>
        <x:v>进击的巨人</x:v>
      </x:c>
      <x:c r="E106" s="8"/>
      <x:c r="F106" s="8"/>
      <x:c r="G106" s="8"/>
      <x:c r="H106" s="8"/>
    </x:row>
    <x:row r="107" ht="28" customHeight="1">
      <x:c r="A107" s="14" t="n">
        <x:f>'看图清单'!A107</x:f>
        <x:v>106</x:v>
      </x:c>
      <x:c r="B107" s="14" t="str">
        <x:f>'看图清单'!B107</x:f>
        <x:v>Tier 2</x:v>
      </x:c>
      <x:c r="C107" s="14" t="str">
        <x:f>'看图清单'!C107</x:f>
        <x:v>夏亚 (CharAznable)</x:v>
      </x:c>
      <x:c r="D107" s="14" t="str">
        <x:f>'看图清单'!D107</x:f>
        <x:v>机动战士高达</x:v>
      </x:c>
      <x:c r="E107" s="8"/>
      <x:c r="F107" s="8"/>
      <x:c r="G107" s="8"/>
      <x:c r="H107" s="8"/>
    </x:row>
    <x:row r="108" ht="28" customHeight="1">
      <x:c r="A108" s="14" t="n">
        <x:f>'看图清单'!A108</x:f>
        <x:v>107</x:v>
      </x:c>
      <x:c r="B108" s="14" t="str">
        <x:f>'看图清单'!B108</x:f>
        <x:v>Tier 2</x:v>
      </x:c>
      <x:c r="C108" s="14" t="str">
        <x:f>'看图清单'!C108</x:f>
        <x:v>阿斯兰 (AthrunZala)</x:v>
      </x:c>
      <x:c r="D108" s="14" t="str">
        <x:f>'看图清单'!D108</x:f>
        <x:v>高达SEED</x:v>
      </x:c>
      <x:c r="E108" s="8"/>
      <x:c r="F108" s="8"/>
      <x:c r="G108" s="8"/>
      <x:c r="H108" s="8"/>
    </x:row>
    <x:row r="109" ht="28" customHeight="1">
      <x:c r="A109" s="14" t="n">
        <x:f>'看图清单'!A109</x:f>
        <x:v>108</x:v>
      </x:c>
      <x:c r="B109" s="14" t="str">
        <x:f>'看图清单'!B109</x:f>
        <x:v>Tier 2</x:v>
      </x:c>
      <x:c r="C109" s="14" t="str">
        <x:f>'看图清单'!C109</x:f>
        <x:v>基拉·大和 (KiraYamato)</x:v>
      </x:c>
      <x:c r="D109" s="14" t="str">
        <x:f>'看图清单'!D109</x:f>
        <x:v>高达SEED</x:v>
      </x:c>
      <x:c r="E109" s="8"/>
      <x:c r="F109" s="8"/>
      <x:c r="G109" s="8"/>
      <x:c r="H109" s="8"/>
    </x:row>
    <x:row r="110" ht="28" customHeight="1">
      <x:c r="A110" s="14" t="n">
        <x:f>'看图清单'!A110</x:f>
        <x:v>109</x:v>
      </x:c>
      <x:c r="B110" s="14" t="str">
        <x:f>'看图清单'!B110</x:f>
        <x:v>Tier 2</x:v>
      </x:c>
      <x:c r="C110" s="14" t="str">
        <x:f>'看图清单'!C110</x:f>
        <x:v>伊利亚(Illyasviel)</x:v>
      </x:c>
      <x:c r="D110" s="14" t="str">
        <x:f>'看图清单'!D110</x:f>
        <x:v>Fate系列</x:v>
      </x:c>
      <x:c r="E110" s="8"/>
      <x:c r="F110" s="8"/>
      <x:c r="G110" s="8"/>
      <x:c r="H110" s="8"/>
    </x:row>
    <x:row r="111" ht="28" customHeight="1">
      <x:c r="A111" s="14" t="n">
        <x:f>'看图清单'!A111</x:f>
        <x:v>110</x:v>
      </x:c>
      <x:c r="B111" s="14" t="str">
        <x:f>'看图清单'!B111</x:f>
        <x:v>Tier 2</x:v>
      </x:c>
      <x:c r="C111" s="14" t="str">
        <x:f>'看图清单'!C111</x:f>
        <x:v>山治 (Sanji)</x:v>
      </x:c>
      <x:c r="D111" s="14" t="str">
        <x:f>'看图清单'!D111</x:f>
        <x:v>海贼王</x:v>
      </x:c>
      <x:c r="E111" s="8"/>
      <x:c r="F111" s="8"/>
      <x:c r="G111" s="8"/>
      <x:c r="H111" s="8"/>
    </x:row>
    <x:row r="112" ht="28" customHeight="1">
      <x:c r="A112" s="14" t="n">
        <x:f>'看图清单'!A112</x:f>
        <x:v>111</x:v>
      </x:c>
      <x:c r="B112" s="14" t="str">
        <x:f>'看图清单'!B112</x:f>
        <x:v>Tier 2</x:v>
      </x:c>
      <x:c r="C112" s="14" t="str">
        <x:f>'看图清单'!C112</x:f>
        <x:v>卡卡西 (KakashiHatake)</x:v>
      </x:c>
      <x:c r="D112" s="14" t="str">
        <x:f>'看图清单'!D112</x:f>
        <x:v>火影忍者</x:v>
      </x:c>
      <x:c r="E112" s="8"/>
      <x:c r="F112" s="8"/>
      <x:c r="G112" s="8"/>
      <x:c r="H112" s="8"/>
    </x:row>
    <x:row r="113" ht="28" customHeight="1">
      <x:c r="A113" s="14" t="n">
        <x:f>'看图清单'!A113</x:f>
        <x:v>112</x:v>
      </x:c>
      <x:c r="B113" s="14" t="str">
        <x:f>'看图清单'!B113</x:f>
        <x:v>Tier 2</x:v>
      </x:c>
      <x:c r="C113" s="14" t="str">
        <x:f>'看图清单'!C113</x:f>
        <x:v>奈良鹿丸(ShikamaruNara)</x:v>
      </x:c>
      <x:c r="D113" s="14" t="str">
        <x:f>'看图清单'!D113</x:f>
        <x:v>火影忍者</x:v>
      </x:c>
      <x:c r="E113" s="8"/>
      <x:c r="F113" s="8"/>
      <x:c r="G113" s="8"/>
      <x:c r="H113" s="8"/>
    </x:row>
    <x:row r="114" ht="28" customHeight="1">
      <x:c r="A114" s="14" t="n">
        <x:f>'看图清单'!A114</x:f>
        <x:v>113</x:v>
      </x:c>
      <x:c r="B114" s="14" t="str">
        <x:f>'看图清单'!B114</x:f>
        <x:v>Tier 2</x:v>
      </x:c>
      <x:c r="C114" s="14" t="str">
        <x:f>'看图清单'!C114</x:f>
        <x:v>晓美焰 (HomuraAkemi)</x:v>
      </x:c>
      <x:c r="D114" s="14" t="str">
        <x:f>'看图清单'!D114</x:f>
        <x:v>魔法少女小圆</x:v>
      </x:c>
      <x:c r="E114" s="8"/>
      <x:c r="F114" s="8"/>
      <x:c r="G114" s="8"/>
      <x:c r="H114" s="8"/>
    </x:row>
    <x:row r="115" ht="28" customHeight="1">
      <x:c r="A115" s="14" t="n">
        <x:f>'看图清单'!A115</x:f>
        <x:v>114</x:v>
      </x:c>
      <x:c r="B115" s="14" t="str">
        <x:f>'看图清单'!B115</x:f>
        <x:v>Tier 2</x:v>
      </x:c>
      <x:c r="C115" s="14" t="str">
        <x:f>'看图清单'!C115</x:f>
        <x:v>鹿目圆 (MadokaKaname)</x:v>
      </x:c>
      <x:c r="D115" s="14" t="str">
        <x:f>'看图清单'!D115</x:f>
        <x:v>魔法少女小圆</x:v>
      </x:c>
      <x:c r="E115" s="8"/>
      <x:c r="F115" s="8"/>
      <x:c r="G115" s="8"/>
      <x:c r="H115" s="8"/>
    </x:row>
    <x:row r="116" ht="28" customHeight="1">
      <x:c r="A116" s="14" t="n">
        <x:f>'看图清单'!A116</x:f>
        <x:v>115</x:v>
      </x:c>
      <x:c r="B116" s="14" t="str">
        <x:f>'看图清单'!B116</x:f>
        <x:v>Tier 2</x:v>
      </x:c>
      <x:c r="C116" s="14" t="str">
        <x:f>'看图清单'!C116</x:f>
        <x:v>惣流·明日香(Asuka Langley)</x:v>
      </x:c>
      <x:c r="D116" s="14" t="str">
        <x:f>'看图清单'!D116</x:f>
        <x:v>新世纪福音战士</x:v>
      </x:c>
      <x:c r="E116" s="8"/>
      <x:c r="F116" s="8"/>
      <x:c r="G116" s="8"/>
      <x:c r="H116" s="8"/>
    </x:row>
    <x:row r="117" ht="28" customHeight="1">
      <x:c r="A117" s="14" t="n">
        <x:f>'看图清单'!A117</x:f>
        <x:v>116</x:v>
      </x:c>
      <x:c r="B117" s="14" t="str">
        <x:f>'看图清单'!B117</x:f>
        <x:v>Tier 2</x:v>
      </x:c>
      <x:c r="C117" s="14" t="str">
        <x:f>'看图清单'!C117</x:f>
        <x:v>真希波 (MariMakinami)</x:v>
      </x:c>
      <x:c r="D117" s="14" t="str">
        <x:f>'看图清单'!D117</x:f>
        <x:v>新世纪福音战士</x:v>
      </x:c>
      <x:c r="E117" s="8"/>
      <x:c r="F117" s="8"/>
      <x:c r="G117" s="8"/>
      <x:c r="H117" s="8"/>
    </x:row>
    <x:row r="118" ht="28" customHeight="1">
      <x:c r="A118" s="14" t="n">
        <x:f>'看图清单'!A118</x:f>
        <x:v>117</x:v>
      </x:c>
      <x:c r="B118" s="14" t="str">
        <x:f>'看图清单'!B118</x:f>
        <x:v>Tier 2</x:v>
      </x:c>
      <x:c r="C118" s="14" t="str">
        <x:f>'看图清单'!C118</x:f>
        <x:v>L (L Lawliet)</x:v>
      </x:c>
      <x:c r="D118" s="14" t="str">
        <x:f>'看图清单'!D118</x:f>
        <x:v>死亡笔记</x:v>
      </x:c>
      <x:c r="E118" s="8"/>
      <x:c r="F118" s="8"/>
      <x:c r="G118" s="8"/>
      <x:c r="H118" s="8"/>
    </x:row>
    <x:row r="119" ht="28" customHeight="1">
      <x:c r="A119" s="14" t="n">
        <x:f>'看图清单'!A119</x:f>
        <x:v>118</x:v>
      </x:c>
      <x:c r="B119" s="14" t="str">
        <x:f>'看图清单'!B119</x:f>
        <x:v>Tier 2</x:v>
      </x:c>
      <x:c r="C119" s="14" t="str">
        <x:f>'看图清单'!C119</x:f>
        <x:v>弥海砂 (MisaAmane)</x:v>
      </x:c>
      <x:c r="D119" s="14" t="str">
        <x:f>'看图清单'!D119</x:f>
        <x:v>死亡笔记</x:v>
      </x:c>
      <x:c r="E119" s="8"/>
      <x:c r="F119" s="8"/>
      <x:c r="G119" s="8"/>
      <x:c r="H119" s="8"/>
    </x:row>
    <x:row r="120" ht="28" customHeight="1">
      <x:c r="A120" s="14" t="n">
        <x:f>'看图清单'!A120</x:f>
        <x:v>119</x:v>
      </x:c>
      <x:c r="B120" s="14" t="str">
        <x:f>'看图清单'!B120</x:f>
        <x:v>Tier 2</x:v>
      </x:c>
      <x:c r="C120" s="14" t="str">
        <x:f>'看图清单'!C120</x:f>
        <x:v>平泽唯 (YuiHirasawa)</x:v>
      </x:c>
      <x:c r="D120" s="14" t="str">
        <x:f>'看图清单'!D120</x:f>
        <x:v>轻音少女</x:v>
      </x:c>
      <x:c r="E120" s="8"/>
      <x:c r="F120" s="8"/>
      <x:c r="G120" s="8"/>
      <x:c r="H120" s="8"/>
    </x:row>
    <x:row r="121" ht="28" customHeight="1">
      <x:c r="A121" s="14" t="n">
        <x:f>'看图清单'!A121</x:f>
        <x:v>120</x:v>
      </x:c>
      <x:c r="B121" s="14" t="str">
        <x:f>'看图清单'!B121</x:f>
        <x:v>Tier 2</x:v>
      </x:c>
      <x:c r="C121" s="14" t="str">
        <x:f>'看图清单'!C121</x:f>
        <x:v>秋山澪 (MioAkiyama)</x:v>
      </x:c>
      <x:c r="D121" s="14" t="str">
        <x:f>'看图清单'!D121</x:f>
        <x:v>轻音少女</x:v>
      </x:c>
      <x:c r="E121" s="8"/>
      <x:c r="F121" s="8"/>
      <x:c r="G121" s="8"/>
      <x:c r="H121" s="8"/>
    </x:row>
    <x:row r="122" ht="28" customHeight="1">
      <x:c r="A122" s="14" t="n">
        <x:f>'看图清单'!A122</x:f>
        <x:v>121</x:v>
      </x:c>
      <x:c r="B122" s="14" t="str">
        <x:f>'看图清单'!B122</x:f>
        <x:v>Tier 2</x:v>
      </x:c>
      <x:c r="C122" s="14" t="str">
        <x:f>'看图清单'!C122</x:f>
        <x:v>战场原黑仪(HitagiSenjougahara)</x:v>
      </x:c>
      <x:c r="D122" s="14" t="str">
        <x:f>'看图清单'!D122</x:f>
        <x:v>物语系列</x:v>
      </x:c>
      <x:c r="E122" s="8"/>
      <x:c r="F122" s="8"/>
      <x:c r="G122" s="8"/>
      <x:c r="H122" s="8"/>
    </x:row>
    <x:row r="123" ht="28" customHeight="1">
      <x:c r="A123" s="14" t="n">
        <x:f>'看图清单'!A123</x:f>
        <x:v>122</x:v>
      </x:c>
      <x:c r="B123" s="14" t="str">
        <x:f>'看图清单'!B123</x:f>
        <x:v>Tier 2</x:v>
      </x:c>
      <x:c r="C123" s="14" t="str">
        <x:f>'看图清单'!C123</x:f>
        <x:v>忍野忍 (ShinobuOshino)</x:v>
      </x:c>
      <x:c r="D123" s="14" t="str">
        <x:f>'看图清单'!D123</x:f>
        <x:v>物语系列</x:v>
      </x:c>
      <x:c r="E123" s="8"/>
      <x:c r="F123" s="8"/>
      <x:c r="G123" s="8"/>
      <x:c r="H123" s="8"/>
    </x:row>
    <x:row r="124" ht="28" customHeight="1">
      <x:c r="A124" s="14" t="n">
        <x:f>'看图清单'!A124</x:f>
        <x:v>123</x:v>
      </x:c>
      <x:c r="B124" s="14" t="str">
        <x:f>'看图清单'!B124</x:f>
        <x:v>Tier 2</x:v>
      </x:c>
      <x:c r="C124" s="14" t="str">
        <x:f>'看图清单'!C124</x:f>
        <x:v>阿尔托莉雅(Saber)</x:v>
      </x:c>
      <x:c r="D124" s="14" t="str">
        <x:f>'看图清单'!D124</x:f>
        <x:v>Fate系列</x:v>
      </x:c>
      <x:c r="E124" s="8"/>
      <x:c r="F124" s="8"/>
      <x:c r="G124" s="8"/>
      <x:c r="H124" s="8"/>
    </x:row>
    <x:row r="125" ht="28" customHeight="1">
      <x:c r="A125" s="14" t="n">
        <x:f>'看图清单'!A125</x:f>
        <x:v>124</x:v>
      </x:c>
      <x:c r="B125" s="14" t="str">
        <x:f>'看图清单'!B125</x:f>
        <x:v>Tier 2</x:v>
      </x:c>
      <x:c r="C125" s="14" t="str">
        <x:f>'看图清单'!C125</x:f>
        <x:v>远坂凛 (RinTohsaka)</x:v>
      </x:c>
      <x:c r="D125" s="14" t="str">
        <x:f>'看图清单'!D125</x:f>
        <x:v>Fate系列</x:v>
      </x:c>
      <x:c r="E125" s="8"/>
      <x:c r="F125" s="8"/>
      <x:c r="G125" s="8"/>
      <x:c r="H125" s="8"/>
    </x:row>
    <x:row r="126" ht="28" customHeight="1">
      <x:c r="A126" s="14" t="n">
        <x:f>'看图清单'!A126</x:f>
        <x:v>125</x:v>
      </x:c>
      <x:c r="B126" s="14" t="str">
        <x:f>'看图清单'!B126</x:f>
        <x:v>Tier 2</x:v>
      </x:c>
      <x:c r="C126" s="14" t="str">
        <x:f>'看图清单'!C126</x:f>
        <x:v>间桐樱 (SakuraMatou)</x:v>
      </x:c>
      <x:c r="D126" s="14" t="str">
        <x:f>'看图清单'!D126</x:f>
        <x:v>Fate系列</x:v>
      </x:c>
      <x:c r="E126" s="8"/>
      <x:c r="F126" s="8"/>
      <x:c r="G126" s="8"/>
      <x:c r="H126" s="8"/>
    </x:row>
    <x:row r="127" ht="28" customHeight="1">
      <x:c r="A127" s="14" t="n">
        <x:f>'看图清单'!A127</x:f>
        <x:v>126</x:v>
      </x:c>
      <x:c r="B127" s="14" t="str">
        <x:f>'看图清单'!B127</x:f>
        <x:v>Tier 2</x:v>
      </x:c>
      <x:c r="C127" s="14" t="str">
        <x:f>'看图清单'!C127</x:f>
        <x:v>迪奥·布兰度(DIO)</x:v>
      </x:c>
      <x:c r="D127" s="14" t="str">
        <x:f>'看图清单'!D127</x:f>
        <x:v>JOJO的奇妙冒险</x:v>
      </x:c>
      <x:c r="E127" s="8"/>
      <x:c r="F127" s="8"/>
      <x:c r="G127" s="8"/>
      <x:c r="H127" s="8"/>
    </x:row>
    <x:row r="128" ht="28" customHeight="1">
      <x:c r="A128" s="14" t="n">
        <x:f>'看图清单'!A128</x:f>
        <x:v>127</x:v>
      </x:c>
      <x:c r="B128" s="14" t="str">
        <x:f>'看图清单'!B128</x:f>
        <x:v>Tier 2</x:v>
      </x:c>
      <x:c r="C128" s="14" t="str">
        <x:f>'看图清单'!C128</x:f>
        <x:v>吉良吉影(Yoshikage Kira)</x:v>
      </x:c>
      <x:c r="D128" s="14" t="str">
        <x:f>'看图清单'!D128</x:f>
        <x:v>JOJO的奇妙冒险</x:v>
      </x:c>
      <x:c r="E128" s="8"/>
      <x:c r="F128" s="8"/>
      <x:c r="G128" s="8"/>
      <x:c r="H128" s="8"/>
    </x:row>
    <x:row r="129" ht="28" customHeight="1">
      <x:c r="A129" s="14" t="n">
        <x:f>'看图清单'!A129</x:f>
        <x:v>128</x:v>
      </x:c>
      <x:c r="B129" s="14" t="str">
        <x:f>'看图清单'!B129</x:f>
        <x:v>Tier 2</x:v>
      </x:c>
      <x:c r="C129" s="14" t="str">
        <x:f>'看图清单'!C129</x:f>
        <x:v>空条徐伦 (JolyneCujoh)</x:v>
      </x:c>
      <x:c r="D129" s="14" t="str">
        <x:f>'看图清单'!D129</x:f>
        <x:v>JOJO的奇妙冒险</x:v>
      </x:c>
      <x:c r="E129" s="8"/>
      <x:c r="F129" s="8"/>
      <x:c r="G129" s="8"/>
      <x:c r="H129" s="8"/>
    </x:row>
    <x:row r="130" ht="28" customHeight="1">
      <x:c r="A130" s="14" t="n">
        <x:f>'看图清单'!A130</x:f>
        <x:v>129</x:v>
      </x:c>
      <x:c r="B130" s="14" t="str">
        <x:f>'看图清单'!B130</x:f>
        <x:v>Tier 2</x:v>
      </x:c>
      <x:c r="C130" s="14" t="str">
        <x:f>'看图清单'!C130</x:f>
        <x:v>斯派克 (SpikeSpiegel)</x:v>
      </x:c>
      <x:c r="D130" s="14" t="str">
        <x:f>'看图清单'!D130</x:f>
        <x:v>星际牛仔</x:v>
      </x:c>
      <x:c r="E130" s="8"/>
      <x:c r="F130" s="8"/>
      <x:c r="G130" s="8"/>
      <x:c r="H130" s="8"/>
    </x:row>
    <x:row r="131" ht="28" customHeight="1">
      <x:c r="A131" s="14" t="n">
        <x:f>'看图清单'!A131</x:f>
        <x:v>130</x:v>
      </x:c>
      <x:c r="B131" s="14" t="str">
        <x:f>'看图清单'!B131</x:f>
        <x:v>Tier 2</x:v>
      </x:c>
      <x:c r="C131" s="14" t="str">
        <x:f>'看图清单'!C131</x:f>
        <x:v>菲·瓦伦丁 (FayeValentine)</x:v>
      </x:c>
      <x:c r="D131" s="14" t="str">
        <x:f>'看图清单'!D131</x:f>
        <x:v>星际牛仔</x:v>
      </x:c>
      <x:c r="E131" s="8"/>
      <x:c r="F131" s="8"/>
      <x:c r="G131" s="8"/>
      <x:c r="H131" s="8"/>
    </x:row>
    <x:row r="132" ht="28" customHeight="1">
      <x:c r="A132" s="14" t="n">
        <x:f>'看图清单'!A132</x:f>
        <x:v>131</x:v>
      </x:c>
      <x:c r="B132" s="14" t="str">
        <x:f>'看图清单'!B132</x:f>
        <x:v>Tier 2</x:v>
      </x:c>
      <x:c r="C132" s="14" t="str">
        <x:f>'看图清单'!C132</x:f>
        <x:v>狡啮慎也(Shinya Kogami)</x:v>
      </x:c>
      <x:c r="D132" s="14" t="str">
        <x:f>'看图清单'!D132</x:f>
        <x:v>心理测量者</x:v>
      </x:c>
      <x:c r="E132" s="8"/>
      <x:c r="F132" s="8"/>
      <x:c r="G132" s="8"/>
      <x:c r="H132" s="8"/>
    </x:row>
    <x:row r="133" ht="28" customHeight="1">
      <x:c r="A133" s="14" t="n">
        <x:f>'看图清单'!A133</x:f>
        <x:v>132</x:v>
      </x:c>
      <x:c r="B133" s="14" t="str">
        <x:f>'看图清单'!B133</x:f>
        <x:v>Tier 2</x:v>
      </x:c>
      <x:c r="C133" s="14" t="str">
        <x:f>'看图清单'!C133</x:f>
        <x:v>常守朱 (AkaneTsunemori)</x:v>
      </x:c>
      <x:c r="D133" s="14" t="str">
        <x:f>'看图清单'!D133</x:f>
        <x:v>心理测量者</x:v>
      </x:c>
      <x:c r="E133" s="8"/>
      <x:c r="F133" s="8"/>
      <x:c r="G133" s="8"/>
      <x:c r="H133" s="8"/>
    </x:row>
    <x:row r="134" ht="28" customHeight="1">
      <x:c r="A134" s="14" t="n">
        <x:f>'看图清单'!A134</x:f>
        <x:v>133</x:v>
      </x:c>
      <x:c r="B134" s="14" t="str">
        <x:f>'看图清单'!B134</x:f>
        <x:v>Tier 2</x:v>
      </x:c>
      <x:c r="C134" s="14" t="str">
        <x:f>'看图清单'!C134</x:f>
        <x:v>卫宫切嗣(Kiritsugu Emiya)</x:v>
      </x:c>
      <x:c r="D134" s="14" t="str">
        <x:f>'看图清单'!D134</x:f>
        <x:v>Fate/Zero</x:v>
      </x:c>
      <x:c r="E134" s="8"/>
      <x:c r="F134" s="8"/>
      <x:c r="G134" s="8"/>
      <x:c r="H134" s="8"/>
    </x:row>
    <x:row r="135" ht="28" customHeight="1">
      <x:c r="A135" s="14" t="n">
        <x:f>'看图清单'!A135</x:f>
        <x:v>134</x:v>
      </x:c>
      <x:c r="B135" s="14" t="str">
        <x:f>'看图清单'!B135</x:f>
        <x:v>Tier 2</x:v>
      </x:c>
      <x:c r="C135" s="14" t="str">
        <x:f>'看图清单'!C135</x:f>
        <x:v>结城明日奈(Asuna Yuuki)</x:v>
      </x:c>
      <x:c r="D135" s="14" t="str">
        <x:f>'看图清单'!D135</x:f>
        <x:v>刀剑神域</x:v>
      </x:c>
      <x:c r="E135" s="8"/>
      <x:c r="F135" s="8"/>
      <x:c r="G135" s="8"/>
      <x:c r="H135" s="8"/>
    </x:row>
    <x:row r="136" ht="28" customHeight="1">
      <x:c r="A136" s="14" t="n">
        <x:f>'看图清单'!A136</x:f>
        <x:v>135</x:v>
      </x:c>
      <x:c r="B136" s="14" t="str">
        <x:f>'看图清单'!B136</x:f>
        <x:v>Tier 2</x:v>
      </x:c>
      <x:c r="C136" s="14" t="str">
        <x:f>'看图清单'!C136</x:f>
        <x:v>朝田诗乃 (Sinon)</x:v>
      </x:c>
      <x:c r="D136" s="14" t="str">
        <x:f>'看图清单'!D136</x:f>
        <x:v>刀剑神域</x:v>
      </x:c>
      <x:c r="E136" s="8"/>
      <x:c r="F136" s="8"/>
      <x:c r="G136" s="8"/>
      <x:c r="H136" s="8"/>
    </x:row>
    <x:row r="137" ht="28" customHeight="1">
      <x:c r="A137" s="14" t="n">
        <x:f>'看图清单'!A137</x:f>
        <x:v>136</x:v>
      </x:c>
      <x:c r="B137" s="14" t="str">
        <x:f>'看图清单'!B137</x:f>
        <x:v>Tier 2</x:v>
      </x:c>
      <x:c r="C137" s="14" t="str">
        <x:f>'看图清单'!C137</x:f>
        <x:v>爱德华·艾尔利克</x:v>
      </x:c>
      <x:c r="D137" s="14" t="str">
        <x:f>'看图清单'!D137</x:f>
        <x:v>钢之炼金术师</x:v>
      </x:c>
      <x:c r="E137" s="8"/>
      <x:c r="F137" s="8"/>
      <x:c r="G137" s="8"/>
      <x:c r="H137" s="8"/>
    </x:row>
    <x:row r="138" ht="28" customHeight="1">
      <x:c r="A138" s="14" t="n">
        <x:f>'看图清单'!A138</x:f>
        <x:v>137</x:v>
      </x:c>
      <x:c r="B138" s="14" t="str">
        <x:f>'看图清单'!B138</x:f>
        <x:v>Tier 2</x:v>
      </x:c>
      <x:c r="C138" s="14" t="str">
        <x:f>'看图清单'!C138</x:f>
        <x:v>冯·霍恩海姆(VanHohenheim)</x:v>
      </x:c>
      <x:c r="D138" s="14" t="str">
        <x:f>'看图清单'!D138</x:f>
        <x:v>钢之炼金术师</x:v>
      </x:c>
      <x:c r="E138" s="8"/>
      <x:c r="F138" s="8"/>
      <x:c r="G138" s="8"/>
      <x:c r="H138" s="8"/>
    </x:row>
    <x:row r="139" ht="28" customHeight="1">
      <x:c r="A139" s="14" t="n">
        <x:f>'看图清单'!A139</x:f>
        <x:v>138</x:v>
      </x:c>
      <x:c r="B139" s="14" t="str">
        <x:f>'看图清单'!B139</x:f>
        <x:v>Tier 2</x:v>
      </x:c>
      <x:c r="C139" s="14" t="str">
        <x:f>'看图清单'!C139</x:f>
        <x:v>夜斗 (Yato)</x:v>
      </x:c>
      <x:c r="D139" s="14" t="str">
        <x:f>'看图清单'!D139</x:f>
        <x:v>野良神</x:v>
      </x:c>
      <x:c r="E139" s="8"/>
      <x:c r="F139" s="8"/>
      <x:c r="G139" s="8"/>
      <x:c r="H139" s="8"/>
    </x:row>
    <x:row r="140" ht="28" customHeight="1">
      <x:c r="A140" s="14" t="n">
        <x:f>'看图清单'!A140</x:f>
        <x:v>139</x:v>
      </x:c>
      <x:c r="B140" s="14" t="str">
        <x:f>'看图清单'!B140</x:f>
        <x:v>Tier 2</x:v>
      </x:c>
      <x:c r="C140" s="14" t="str">
        <x:f>'看图清单'!C140</x:f>
        <x:v>坂本 (Sakamoto)</x:v>
      </x:c>
      <x:c r="D140" s="14" t="str">
        <x:f>'看图清单'!D140</x:f>
        <x:v>在下坂本，有何贵干？</x:v>
      </x:c>
      <x:c r="E140" s="8"/>
      <x:c r="F140" s="8"/>
      <x:c r="G140" s="8"/>
      <x:c r="H140" s="8"/>
    </x:row>
    <x:row r="141" ht="28" customHeight="1">
      <x:c r="A141" s="14" t="n">
        <x:f>'看图清单'!A141</x:f>
        <x:v>140</x:v>
      </x:c>
      <x:c r="B141" s="14" t="str">
        <x:f>'看图清单'!B141</x:f>
        <x:v>Tier 2</x:v>
      </x:c>
      <x:c r="C141" s="14" t="str">
        <x:f>'看图清单'!C141</x:f>
        <x:v>司波达也(Tatsuya Shiba)</x:v>
      </x:c>
      <x:c r="D141" s="14" t="str">
        <x:f>'看图清单'!D141</x:f>
        <x:v>魔法科高中的劣等生</x:v>
      </x:c>
      <x:c r="E141" s="8"/>
      <x:c r="F141" s="8"/>
      <x:c r="G141" s="8"/>
      <x:c r="H141" s="8"/>
    </x:row>
    <x:row r="142" ht="28" customHeight="1">
      <x:c r="A142" s="14" t="n">
        <x:f>'看图清单'!A142</x:f>
        <x:v>141</x:v>
      </x:c>
      <x:c r="B142" s="14" t="str">
        <x:f>'看图清单'!B142</x:f>
        <x:v>Tier 3</x:v>
      </x:c>
      <x:c r="C142" s="14" t="str">
        <x:f>'看图清单'!C142</x:f>
        <x:v>艾达 (Eida)</x:v>
      </x:c>
      <x:c r="D142" s="14" t="str">
        <x:f>'看图清单'!D142</x:f>
        <x:v>博人传</x:v>
      </x:c>
      <x:c r="E142" s="8"/>
      <x:c r="F142" s="8"/>
      <x:c r="G142" s="8"/>
      <x:c r="H142" s="8"/>
    </x:row>
    <x:row r="143" ht="28" customHeight="1">
      <x:c r="A143" s="14" t="n">
        <x:f>'看图清单'!A143</x:f>
        <x:v>142</x:v>
      </x:c>
      <x:c r="B143" s="14" t="str">
        <x:f>'看图清单'!B143</x:f>
        <x:v>Tier 3</x:v>
      </x:c>
      <x:c r="C143" s="14" t="str">
        <x:f>'看图清单'!C143</x:f>
        <x:v>迪蒙 (Daemon)</x:v>
      </x:c>
      <x:c r="D143" s="14" t="str">
        <x:f>'看图清单'!D143</x:f>
        <x:v>博人传</x:v>
      </x:c>
      <x:c r="E143" s="8"/>
      <x:c r="F143" s="8"/>
      <x:c r="G143" s="8"/>
      <x:c r="H143" s="8"/>
    </x:row>
    <x:row r="144" ht="28" customHeight="1">
      <x:c r="A144" s="14" t="n">
        <x:f>'看图清单'!A144</x:f>
        <x:v>143</x:v>
      </x:c>
      <x:c r="B144" s="14" t="str">
        <x:f>'看图清单'!B144</x:f>
        <x:v>Tier 3</x:v>
      </x:c>
      <x:c r="C144" s="14" t="str">
        <x:f>'看图清单'!C144</x:f>
        <x:v>猫猫 (Maomao)</x:v>
      </x:c>
      <x:c r="D144" s="14" t="str">
        <x:f>'看图清单'!D144</x:f>
        <x:v>药屋少女的呢喃</x:v>
      </x:c>
      <x:c r="E144" s="8"/>
      <x:c r="F144" s="8"/>
      <x:c r="G144" s="8"/>
      <x:c r="H144" s="8"/>
    </x:row>
    <x:row r="145" ht="28" customHeight="1">
      <x:c r="A145" s="14" t="n">
        <x:f>'看图清单'!A145</x:f>
        <x:v>144</x:v>
      </x:c>
      <x:c r="B145" s="14" t="str">
        <x:f>'看图清单'!B145</x:f>
        <x:v>Tier 3</x:v>
      </x:c>
      <x:c r="C145" s="14" t="str">
        <x:f>'看图清单'!C145</x:f>
        <x:v>壬氏 (Jinshi)</x:v>
      </x:c>
      <x:c r="D145" s="14" t="str">
        <x:f>'看图清单'!D145</x:f>
        <x:v>药屋少女的呢喃</x:v>
      </x:c>
      <x:c r="E145" s="8"/>
      <x:c r="F145" s="8"/>
      <x:c r="G145" s="8"/>
      <x:c r="H145" s="8"/>
    </x:row>
    <x:row r="146" ht="28" customHeight="1">
      <x:c r="A146" s="14" t="n">
        <x:f>'看图清单'!A146</x:f>
        <x:v>145</x:v>
      </x:c>
      <x:c r="B146" s="14" t="str">
        <x:f>'看图清单'!B146</x:f>
        <x:v>Tier 3</x:v>
      </x:c>
      <x:c r="C146" s="14" t="str">
        <x:f>'看图清单'!C146</x:f>
        <x:v>芙莉莲 (Frieren)</x:v>
      </x:c>
      <x:c r="D146" s="14" t="str">
        <x:f>'看图清单'!D146</x:f>
        <x:v>葬送的芙莉莲</x:v>
      </x:c>
      <x:c r="E146" s="8"/>
      <x:c r="F146" s="8"/>
      <x:c r="G146" s="8"/>
      <x:c r="H146" s="8"/>
    </x:row>
    <x:row r="147" ht="28" customHeight="1">
      <x:c r="A147" s="14" t="n">
        <x:f>'看图清单'!A147</x:f>
        <x:v>146</x:v>
      </x:c>
      <x:c r="B147" s="14" t="str">
        <x:f>'看图清单'!B147</x:f>
        <x:v>Tier 3</x:v>
      </x:c>
      <x:c r="C147" s="14" t="str">
        <x:f>'看图清单'!C147</x:f>
        <x:v>菲伦 (Fern)</x:v>
      </x:c>
      <x:c r="D147" s="14" t="str">
        <x:f>'看图清单'!D147</x:f>
        <x:v>葬送的芙莉莲</x:v>
      </x:c>
      <x:c r="E147" s="8"/>
      <x:c r="F147" s="8"/>
      <x:c r="G147" s="8"/>
      <x:c r="H147" s="8"/>
    </x:row>
    <x:row r="148" ht="28" customHeight="1">
      <x:c r="A148" s="14" t="n">
        <x:f>'看图清单'!A148</x:f>
        <x:v>147</x:v>
      </x:c>
      <x:c r="B148" s="14" t="str">
        <x:f>'看图清单'!B148</x:f>
        <x:v>Tier 3</x:v>
      </x:c>
      <x:c r="C148" s="14" t="str">
        <x:f>'看图清单'!C148</x:f>
        <x:v>休塔尔克 (Stark)</x:v>
      </x:c>
      <x:c r="D148" s="14" t="str">
        <x:f>'看图清单'!D148</x:f>
        <x:v>葬送的芙莉莲</x:v>
      </x:c>
      <x:c r="E148" s="8"/>
      <x:c r="F148" s="8"/>
      <x:c r="G148" s="8"/>
      <x:c r="H148" s="8"/>
    </x:row>
    <x:row r="149" ht="28" customHeight="1">
      <x:c r="A149" s="14" t="n">
        <x:f>'看图清单'!A149</x:f>
        <x:v>148</x:v>
      </x:c>
      <x:c r="B149" s="14" t="str">
        <x:f>'看图清单'!B149</x:f>
        <x:v>Tier 3</x:v>
      </x:c>
      <x:c r="C149" s="14" t="str">
        <x:f>'看图清单'!C149</x:f>
        <x:v>辛美尔 (Himmel)</x:v>
      </x:c>
      <x:c r="D149" s="14" t="str">
        <x:f>'看图清单'!D149</x:f>
        <x:v>葬送的芙莉莲</x:v>
      </x:c>
      <x:c r="E149" s="8"/>
      <x:c r="F149" s="8"/>
      <x:c r="G149" s="8"/>
      <x:c r="H149" s="8"/>
    </x:row>
    <x:row r="150" ht="28" customHeight="1">
      <x:c r="A150" s="14" t="n">
        <x:f>'看图清单'!A150</x:f>
        <x:v>149</x:v>
      </x:c>
      <x:c r="B150" s="14" t="str">
        <x:f>'看图清单'!B150</x:f>
        <x:v>Tier 3</x:v>
      </x:c>
      <x:c r="C150" s="14" t="str">
        <x:f>'看图清单'!C150</x:f>
        <x:v>绫濑桃 (MomoAyase)</x:v>
      </x:c>
      <x:c r="D150" s="14" t="str">
        <x:f>'看图清单'!D150</x:f>
        <x:v>胆大党</x:v>
      </x:c>
      <x:c r="E150" s="8"/>
      <x:c r="F150" s="8"/>
      <x:c r="G150" s="8"/>
      <x:c r="H150" s="8"/>
    </x:row>
    <x:row r="151" ht="28" customHeight="1">
      <x:c r="A151" s="14" t="n">
        <x:f>'看图清单'!A151</x:f>
        <x:v>150</x:v>
      </x:c>
      <x:c r="B151" s="14" t="str">
        <x:f>'看图清单'!B151</x:f>
        <x:v>Tier 3</x:v>
      </x:c>
      <x:c r="C151" s="14" t="str">
        <x:f>'看图清单'!C151</x:f>
        <x:v>厄卡伦 (Okarun)</x:v>
      </x:c>
      <x:c r="D151" s="14" t="str">
        <x:f>'看图清单'!D151</x:f>
        <x:v>胆大党</x:v>
      </x:c>
      <x:c r="E151" s="8"/>
      <x:c r="F151" s="8"/>
      <x:c r="G151" s="8"/>
      <x:c r="H151" s="8"/>
    </x:row>
    <x:row r="152" ht="28" customHeight="1">
      <x:c r="A152" s="14" t="n">
        <x:f>'看图清单'!A152</x:f>
        <x:v>151</x:v>
      </x:c>
      <x:c r="B152" s="14" t="str">
        <x:f>'看图清单'!B152</x:f>
        <x:v>Tier 3</x:v>
      </x:c>
      <x:c r="C152" s="14" t="str">
        <x:f>'看图清单'!C152</x:f>
        <x:v>高仓健 (Jiji)</x:v>
      </x:c>
      <x:c r="D152" s="14" t="str">
        <x:f>'看图清单'!D152</x:f>
        <x:v>胆大党</x:v>
      </x:c>
      <x:c r="E152" s="8"/>
      <x:c r="F152" s="8"/>
      <x:c r="G152" s="8"/>
      <x:c r="H152" s="8"/>
    </x:row>
    <x:row r="153" ht="28" customHeight="1">
      <x:c r="A153" s="14" t="n">
        <x:f>'看图清单'!A153</x:f>
        <x:v>152</x:v>
      </x:c>
      <x:c r="B153" s="14" t="str">
        <x:f>'看图清单'!B153</x:f>
        <x:v>Tier 3</x:v>
      </x:c>
      <x:c r="C153" s="14" t="str">
        <x:f>'看图清单'!C153</x:f>
        <x:v>赛伯星人(Serpoians)</x:v>
      </x:c>
      <x:c r="D153" s="14" t="str">
        <x:f>'看图清单'!D153</x:f>
        <x:v>胆大党</x:v>
      </x:c>
      <x:c r="E153" s="8"/>
      <x:c r="F153" s="8"/>
      <x:c r="G153" s="8"/>
      <x:c r="H153" s="8"/>
    </x:row>
    <x:row r="154" ht="28" customHeight="1">
      <x:c r="A154" s="14" t="n">
        <x:f>'看图清单'!A154</x:f>
        <x:v>153</x:v>
      </x:c>
      <x:c r="B154" s="14" t="str">
        <x:f>'看图清单'!B154</x:f>
        <x:v>Tier 3</x:v>
      </x:c>
      <x:c r="C154" s="14" t="str">
        <x:f>'看图清单'!C154</x:f>
        <x:v>成振宇 (SungJinwoo)</x:v>
      </x:c>
      <x:c r="D154" s="14" t="str">
        <x:f>'看图清单'!D154</x:f>
        <x:v>我独自升级</x:v>
      </x:c>
      <x:c r="E154" s="8"/>
      <x:c r="F154" s="8"/>
      <x:c r="G154" s="8"/>
      <x:c r="H154" s="8"/>
    </x:row>
    <x:row r="155" ht="28" customHeight="1">
      <x:c r="A155" s="14" t="n">
        <x:f>'看图清单'!A155</x:f>
        <x:v>154</x:v>
      </x:c>
      <x:c r="B155" s="14" t="str">
        <x:f>'看图清单'!B155</x:f>
        <x:v>Tier 3</x:v>
      </x:c>
      <x:c r="C155" s="14" t="str">
        <x:f>'看图清单'!C155</x:f>
        <x:v>车海印 (ChaHae-In)</x:v>
      </x:c>
      <x:c r="D155" s="14" t="str">
        <x:f>'看图清单'!D155</x:f>
        <x:v>我独自升级</x:v>
      </x:c>
      <x:c r="E155" s="8"/>
      <x:c r="F155" s="8"/>
      <x:c r="G155" s="8"/>
      <x:c r="H155" s="8"/>
    </x:row>
    <x:row r="156" ht="28" customHeight="1">
      <x:c r="A156" s="14" t="n">
        <x:f>'看图清单'!A156</x:f>
        <x:v>155</x:v>
      </x:c>
      <x:c r="B156" s="14" t="str">
        <x:f>'看图清单'!B156</x:f>
        <x:v>Tier 3</x:v>
      </x:c>
      <x:c r="C156" s="14" t="str">
        <x:f>'看图清单'!C156</x:f>
        <x:v>可可 (Coco)</x:v>
      </x:c>
      <x:c r="D156" s="14" t="str">
        <x:f>'看图清单'!D156</x:f>
        <x:v>尖帽子的魔法工房</x:v>
      </x:c>
      <x:c r="E156" s="8"/>
      <x:c r="F156" s="8"/>
      <x:c r="G156" s="8"/>
      <x:c r="H156" s="8"/>
    </x:row>
    <x:row r="157" ht="28" customHeight="1">
      <x:c r="A157" s="14" t="n">
        <x:f>'看图清单'!A157</x:f>
        <x:v>156</x:v>
      </x:c>
      <x:c r="B157" s="14" t="str">
        <x:f>'看图清单'!B157</x:f>
        <x:v>Tier 3</x:v>
      </x:c>
      <x:c r="C157" s="14" t="str">
        <x:f>'看图清单'!C157</x:f>
        <x:v>奇弗雷 (Qifrey)</x:v>
      </x:c>
      <x:c r="D157" s="14" t="str">
        <x:f>'看图清单'!D157</x:f>
        <x:v>尖帽子的魔法工房</x:v>
      </x:c>
      <x:c r="E157" s="8"/>
      <x:c r="F157" s="8"/>
      <x:c r="G157" s="8"/>
      <x:c r="H157" s="8"/>
    </x:row>
    <x:row r="158" ht="28" customHeight="1">
      <x:c r="A158" s="14" t="n">
        <x:f>'看图清单'!A158</x:f>
        <x:v>157</x:v>
      </x:c>
      <x:c r="B158" s="14" t="str">
        <x:f>'看图清单'!B158</x:f>
        <x:v>Tier 3</x:v>
      </x:c>
      <x:c r="C158" s="14" t="str">
        <x:f>'看图清单'!C158</x:f>
        <x:v>路德 (Rudo)</x:v>
      </x:c>
      <x:c r="D158" s="14" t="str">
        <x:f>'看图清单'!D158</x:f>
        <x:v>废渊战鬼</x:v>
      </x:c>
      <x:c r="E158" s="8"/>
      <x:c r="F158" s="8"/>
      <x:c r="G158" s="8"/>
      <x:c r="H158" s="8"/>
    </x:row>
    <x:row r="159" ht="28" customHeight="1">
      <x:c r="A159" s="14" t="n">
        <x:f>'看图清单'!A159</x:f>
        <x:v>158</x:v>
      </x:c>
      <x:c r="B159" s="14" t="str">
        <x:f>'看图清单'!B159</x:f>
        <x:v>Tier 3</x:v>
      </x:c>
      <x:c r="C159" s="14" t="str">
        <x:f>'看图清单'!C159</x:f>
        <x:v>坂本太郎 (TaroSakamoto)</x:v>
      </x:c>
      <x:c r="D159" s="14" t="str">
        <x:f>'看图清单'!D159</x:f>
        <x:v>坂本日常</x:v>
      </x:c>
      <x:c r="E159" s="8"/>
      <x:c r="F159" s="8"/>
      <x:c r="G159" s="8"/>
      <x:c r="H159" s="8"/>
    </x:row>
    <x:row r="160" ht="28" customHeight="1">
      <x:c r="A160" s="14" t="n">
        <x:f>'看图清单'!A160</x:f>
        <x:v>159</x:v>
      </x:c>
      <x:c r="B160" s="14" t="str">
        <x:f>'看图清单'!B160</x:f>
        <x:v>Tier 3</x:v>
      </x:c>
      <x:c r="C160" s="14" t="str">
        <x:f>'看图清单'!C160</x:f>
        <x:v>朝仓新 (ShinAsakura)</x:v>
      </x:c>
      <x:c r="D160" s="14" t="str">
        <x:f>'看图清单'!D160</x:f>
        <x:v>坂本日常</x:v>
      </x:c>
      <x:c r="E160" s="8"/>
      <x:c r="F160" s="8"/>
      <x:c r="G160" s="8"/>
      <x:c r="H160" s="8"/>
    </x:row>
    <x:row r="161" ht="28" customHeight="1">
      <x:c r="A161" s="14" t="n">
        <x:f>'看图清单'!A161</x:f>
        <x:v>160</x:v>
      </x:c>
      <x:c r="B161" s="14" t="str">
        <x:f>'看图清单'!B161</x:f>
        <x:v>Tier 3</x:v>
      </x:c>
      <x:c r="C161" s="14" t="str">
        <x:f>'看图清单'!C161</x:f>
        <x:v>南云 (Nagumo)</x:v>
      </x:c>
      <x:c r="D161" s="14" t="str">
        <x:f>'看图清单'!D161</x:f>
        <x:v>坂本日常</x:v>
      </x:c>
      <x:c r="E161" s="8"/>
      <x:c r="F161" s="8"/>
      <x:c r="G161" s="8"/>
      <x:c r="H161" s="8"/>
    </x:row>
    <x:row r="162" ht="28" customHeight="1">
      <x:c r="A162" s="14" t="n">
        <x:f>'看图清单'!A162</x:f>
        <x:v>161</x:v>
      </x:c>
      <x:c r="B162" s="14" t="str">
        <x:f>'看图清单'!B162</x:f>
        <x:v>Tier 3</x:v>
      </x:c>
      <x:c r="C162" s="14" t="str">
        <x:f>'看图清单'!C162</x:f>
        <x:v>六平千寻(ChihiroRokuhira)</x:v>
      </x:c>
      <x:c r="D162" s="14" t="str">
        <x:f>'看图清单'!D162</x:f>
        <x:v>神乐钵</x:v>
      </x:c>
      <x:c r="E162" s="8"/>
      <x:c r="F162" s="8"/>
      <x:c r="G162" s="8"/>
      <x:c r="H162" s="8"/>
    </x:row>
    <x:row r="163" ht="28" customHeight="1">
      <x:c r="A163" s="14" t="n">
        <x:f>'看图清单'!A163</x:f>
        <x:v>162</x:v>
      </x:c>
      <x:c r="B163" s="14" t="str">
        <x:f>'看图清单'!B163</x:f>
        <x:v>Tier 3</x:v>
      </x:c>
      <x:c r="C163" s="14" t="str">
        <x:f>'看图清单'!C163</x:f>
        <x:v>猪股大喜 (TaikiInomata)</x:v>
      </x:c>
      <x:c r="D163" s="14" t="str">
        <x:f>'看图清单'!D163</x:f>
        <x:v>青春之箱</x:v>
      </x:c>
      <x:c r="E163" s="8"/>
      <x:c r="F163" s="8"/>
      <x:c r="G163" s="8"/>
      <x:c r="H163" s="8"/>
    </x:row>
    <x:row r="164" ht="28" customHeight="1">
      <x:c r="A164" s="14" t="n">
        <x:f>'看图清单'!A164</x:f>
        <x:v>163</x:v>
      </x:c>
      <x:c r="B164" s="14" t="str">
        <x:f>'看图清单'!B164</x:f>
        <x:v>Tier 3</x:v>
      </x:c>
      <x:c r="C164" s="14" t="str">
        <x:f>'看图清单'!C164</x:f>
        <x:v>鹿野千夏(Chinatsu Kano)</x:v>
      </x:c>
      <x:c r="D164" s="14" t="str">
        <x:f>'看图清单'!D164</x:f>
        <x:v>青春之箱</x:v>
      </x:c>
      <x:c r="E164" s="8"/>
      <x:c r="F164" s="8"/>
      <x:c r="G164" s="8"/>
      <x:c r="H164" s="8"/>
    </x:row>
    <x:row r="165" ht="28" customHeight="1">
      <x:c r="A165" s="14" t="n">
        <x:f>'看图清单'!A165</x:f>
        <x:v>164</x:v>
      </x:c>
      <x:c r="B165" s="14" t="str">
        <x:f>'看图清单'!B165</x:f>
        <x:v>Tier 3</x:v>
      </x:c>
      <x:c r="C165" s="14" t="str">
        <x:f>'看图清单'!C165</x:f>
        <x:v>蝶野雏 (HinaChono)</x:v>
      </x:c>
      <x:c r="D165" s="14" t="str">
        <x:f>'看图清单'!D165</x:f>
        <x:v>青春之箱</x:v>
      </x:c>
      <x:c r="E165" s="8"/>
      <x:c r="F165" s="8"/>
      <x:c r="G165" s="8"/>
      <x:c r="H165" s="8"/>
    </x:row>
    <x:row r="166" ht="28" customHeight="1">
      <x:c r="A166" s="14" t="n">
        <x:f>'看图清单'!A166</x:f>
        <x:v>165</x:v>
      </x:c>
      <x:c r="B166" s="14" t="str">
        <x:f>'看图清单'!B166</x:f>
        <x:v>Tier 3</x:v>
      </x:c>
      <x:c r="C166" s="14" t="str">
        <x:f>'看图清单'!C166</x:f>
        <x:v>银卡 (Ginka)</x:v>
      </x:c>
      <x:c r="D166" s="14" t="str">
        <x:f>'看图清单'!D166</x:f>
        <x:v>银卡与古露娜</x:v>
      </x:c>
      <x:c r="E166" s="8"/>
      <x:c r="F166" s="8"/>
      <x:c r="G166" s="8"/>
      <x:c r="H166" s="8"/>
    </x:row>
    <x:row r="167" ht="28" customHeight="1">
      <x:c r="A167" s="14" t="n">
        <x:f>'看图清单'!A167</x:f>
        <x:v>166</x:v>
      </x:c>
      <x:c r="B167" s="14" t="str">
        <x:f>'看图清单'!B167</x:f>
        <x:v>Tier 3</x:v>
      </x:c>
      <x:c r="C167" s="14" t="str">
        <x:f>'看图清单'!C167</x:f>
        <x:v>古露娜 (Glüna)</x:v>
      </x:c>
      <x:c r="D167" s="14" t="str">
        <x:f>'看图清单'!D167</x:f>
        <x:v>银卡与古露娜</x:v>
      </x:c>
      <x:c r="E167" s="8"/>
      <x:c r="F167" s="8"/>
      <x:c r="G167" s="8"/>
      <x:c r="H167" s="8"/>
    </x:row>
    <x:row r="168" ht="28" customHeight="1">
      <x:c r="A168" s="14" t="n">
        <x:f>'看图清单'!A168</x:f>
        <x:v>167</x:v>
      </x:c>
      <x:c r="B168" s="14" t="str">
        <x:f>'看图清单'!B168</x:f>
        <x:v>Tier 3</x:v>
      </x:c>
      <x:c r="C168" s="14" t="str">
        <x:f>'看图清单'!C168</x:f>
        <x:v>赤木茂 (AkagiShigeru)</x:v>
      </x:c>
      <x:c r="D168" s="14" t="str">
        <x:f>'看图清单'!D168</x:f>
        <x:v>斗牌传说</x:v>
      </x:c>
      <x:c r="E168" s="8"/>
      <x:c r="F168" s="8"/>
      <x:c r="G168" s="8"/>
      <x:c r="H168" s="8"/>
    </x:row>
    <x:row r="169" ht="28" customHeight="1">
      <x:c r="A169" s="14" t="n">
        <x:f>'看图清单'!A169</x:f>
        <x:v>168</x:v>
      </x:c>
      <x:c r="B169" s="14" t="str">
        <x:f>'看图清单'!B169</x:f>
        <x:v>Tier 3</x:v>
      </x:c>
      <x:c r="C169" s="14" t="str">
        <x:f>'看图清单'!C169</x:f>
        <x:v>伊藤开司 (KaijiItou)</x:v>
      </x:c>
      <x:c r="D169" s="14" t="str">
        <x:f>'看图清单'!D169</x:f>
        <x:v>赌博默示录</x:v>
      </x:c>
      <x:c r="E169" s="8"/>
      <x:c r="F169" s="8"/>
      <x:c r="G169" s="8"/>
      <x:c r="H169" s="8"/>
    </x:row>
    <x:row r="170" ht="28" customHeight="1">
      <x:c r="A170" s="14" t="n">
        <x:f>'看图清单'!A170</x:f>
        <x:v>169</x:v>
      </x:c>
      <x:c r="B170" s="14" t="str">
        <x:f>'看图清单'!B170</x:f>
        <x:v>Tier 3</x:v>
      </x:c>
      <x:c r="C170" s="14" t="str">
        <x:f>'看图清单'!C170</x:f>
        <x:v>马格纳 (MagnaSwing)</x:v>
      </x:c>
      <x:c r="D170" s="14" t="str">
        <x:f>'看图清单'!D170</x:f>
        <x:v>黑色五叶草</x:v>
      </x:c>
      <x:c r="E170" s="8"/>
      <x:c r="F170" s="8"/>
      <x:c r="G170" s="8"/>
      <x:c r="H170" s="8"/>
    </x:row>
    <x:row r="171" ht="28" customHeight="1">
      <x:c r="A171" s="14" t="n">
        <x:f>'看图清单'!A171</x:f>
        <x:v>170</x:v>
      </x:c>
      <x:c r="B171" s="14" t="str">
        <x:f>'看图清单'!B171</x:f>
        <x:v>Tier 3</x:v>
      </x:c>
      <x:c r="C171" s="14" t="str">
        <x:f>'看图清单'!C171</x:f>
        <x:v>佩可(Peco/Yutaka)</x:v>
      </x:c>
      <x:c r="D171" s="14" t="str">
        <x:f>'看图清单'!D171</x:f>
        <x:v>乒乓</x:v>
      </x:c>
      <x:c r="E171" s="8"/>
      <x:c r="F171" s="8"/>
      <x:c r="G171" s="8"/>
      <x:c r="H171" s="8"/>
    </x:row>
    <x:row r="172" ht="28" customHeight="1">
      <x:c r="A172" s="14" t="n">
        <x:f>'看图清单'!A172</x:f>
        <x:v>171</x:v>
      </x:c>
      <x:c r="B172" s="14" t="str">
        <x:f>'看图清单'!B172</x:f>
        <x:v>Tier 3</x:v>
      </x:c>
      <x:c r="C172" s="14" t="str">
        <x:f>'看图清单'!C172</x:f>
        <x:v>阿里巴巴(Alibaba Saluja)</x:v>
      </x:c>
      <x:c r="D172" s="14" t="str">
        <x:f>'看图清单'!D172</x:f>
        <x:v>魔笛MAGI</x:v>
      </x:c>
      <x:c r="E172" s="8"/>
      <x:c r="F172" s="8"/>
      <x:c r="G172" s="8"/>
      <x:c r="H172" s="8"/>
    </x:row>
    <x:row r="173" ht="28" customHeight="1">
      <x:c r="A173" s="14" t="n">
        <x:f>'看图清单'!A173</x:f>
        <x:v>172</x:v>
      </x:c>
      <x:c r="B173" s="14" t="str">
        <x:f>'看图清单'!B173</x:f>
        <x:v>Tier 3</x:v>
      </x:c>
      <x:c r="C173" s="14" t="str">
        <x:f>'看图清单'!C173</x:f>
        <x:v>卡塔莉娜(Katarina Claes)</x:v>
      </x:c>
      <x:c r="D173" s="14" t="str">
        <x:f>'看图清单'!D173</x:f>
        <x:v>转生恶役千金</x:v>
      </x:c>
      <x:c r="E173" s="8"/>
      <x:c r="F173" s="8"/>
      <x:c r="G173" s="8"/>
      <x:c r="H173" s="8"/>
    </x:row>
    <x:row r="174" ht="28" customHeight="1">
      <x:c r="A174" s="14" t="n">
        <x:f>'看图清单'!A174</x:f>
        <x:v>173</x:v>
      </x:c>
      <x:c r="B174" s="14" t="str">
        <x:f>'看图清单'!B174</x:f>
        <x:v>Tier 3</x:v>
      </x:c>
      <x:c r="C174" s="14" t="str">
        <x:f>'看图清单'!C174</x:f>
        <x:v>亚连·沃克 (AllenWalker)</x:v>
      </x:c>
      <x:c r="D174" s="14" t="str">
        <x:f>'看图清单'!D174</x:f>
        <x:v>驱魔少年</x:v>
      </x:c>
      <x:c r="E174" s="8"/>
      <x:c r="F174" s="8"/>
      <x:c r="G174" s="8"/>
      <x:c r="H174" s="8"/>
    </x:row>
    <x:row r="175" ht="28" customHeight="1">
      <x:c r="A175" s="14" t="n">
        <x:f>'看图清单'!A175</x:f>
        <x:v>174</x:v>
      </x:c>
      <x:c r="B175" s="14" t="str">
        <x:f>'看图清单'!B175</x:f>
        <x:v>Tier 3</x:v>
      </x:c>
      <x:c r="C175" s="14" t="str">
        <x:f>'看图清单'!C175</x:f>
        <x:v>神田优 (YuKanda)</x:v>
      </x:c>
      <x:c r="D175" s="14" t="str">
        <x:f>'看图清单'!D175</x:f>
        <x:v>驱魔少年</x:v>
      </x:c>
      <x:c r="E175" s="8"/>
      <x:c r="F175" s="8"/>
      <x:c r="G175" s="8"/>
      <x:c r="H175" s="8"/>
    </x:row>
    <x:row r="176" ht="28" customHeight="1">
      <x:c r="A176" s="14" t="n">
        <x:f>'看图清单'!A176</x:f>
        <x:v>175</x:v>
      </x:c>
      <x:c r="B176" s="14" t="str">
        <x:f>'看图清单'!B176</x:f>
        <x:v>Tier 3</x:v>
      </x:c>
      <x:c r="C176" s="14" t="str">
        <x:f>'看图清单'!C176</x:f>
        <x:v>夜一 (YoruichiShihouin)</x:v>
      </x:c>
      <x:c r="D176" s="14" t="str">
        <x:f>'看图清单'!D176</x:f>
        <x:v>死神</x:v>
      </x:c>
      <x:c r="E176" s="8"/>
      <x:c r="F176" s="8"/>
      <x:c r="G176" s="8"/>
      <x:c r="H176" s="8"/>
    </x:row>
    <x:row r="177" ht="28" customHeight="1">
      <x:c r="A177" s="14" t="n">
        <x:f>'看图清单'!A177</x:f>
        <x:v>176</x:v>
      </x:c>
      <x:c r="B177" s="14" t="str">
        <x:f>'看图清单'!B177</x:f>
        <x:v>Tier 3</x:v>
      </x:c>
      <x:c r="C177" s="14" t="str">
        <x:f>'看图清单'!C177</x:f>
        <x:v>浦原喜助(Kisuke Urahara)</x:v>
      </x:c>
      <x:c r="D177" s="14" t="str">
        <x:f>'看图清单'!D177</x:f>
        <x:v>死神</x:v>
      </x:c>
      <x:c r="E177" s="8"/>
      <x:c r="F177" s="8"/>
      <x:c r="G177" s="8"/>
      <x:c r="H177" s="8"/>
    </x:row>
    <x:row r="178" ht="28" customHeight="1">
      <x:c r="A178" s="14" t="n">
        <x:f>'看图清单'!A178</x:f>
        <x:v>177</x:v>
      </x:c>
      <x:c r="B178" s="14" t="str">
        <x:f>'看图清单'!B178</x:f>
        <x:v>Tier 3</x:v>
      </x:c>
      <x:c r="C178" s="14" t="str">
        <x:f>'看图清单'!C178</x:f>
        <x:v>市丸银 (GinIchimaru)</x:v>
      </x:c>
      <x:c r="D178" s="14" t="str">
        <x:f>'看图清单'!D178</x:f>
        <x:v>死神</x:v>
      </x:c>
      <x:c r="E178" s="8"/>
      <x:c r="F178" s="8"/>
      <x:c r="G178" s="8"/>
      <x:c r="H178" s="8"/>
    </x:row>
    <x:row r="179" ht="28" customHeight="1">
      <x:c r="A179" s="14" t="n">
        <x:f>'看图清单'!A179</x:f>
        <x:v>178</x:v>
      </x:c>
      <x:c r="B179" s="14" t="str">
        <x:f>'看图清单'!B179</x:f>
        <x:v>Tier 3</x:v>
      </x:c>
      <x:c r="C179" s="14" t="str">
        <x:f>'看图清单'!C179</x:f>
        <x:v>卯之花烈 (RetsuUnohana)</x:v>
      </x:c>
      <x:c r="D179" s="14" t="str">
        <x:f>'看图清单'!D179</x:f>
        <x:v>死神</x:v>
      </x:c>
      <x:c r="E179" s="8"/>
      <x:c r="F179" s="8"/>
      <x:c r="G179" s="8"/>
      <x:c r="H179" s="8"/>
    </x:row>
    <x:row r="180" ht="28" customHeight="1">
      <x:c r="A180" s="14" t="n">
        <x:f>'看图清单'!A180</x:f>
        <x:v>179</x:v>
      </x:c>
      <x:c r="B180" s="14" t="str">
        <x:f>'看图清单'!B180</x:f>
        <x:v>Tier 3</x:v>
      </x:c>
      <x:c r="C180" s="14" t="str">
        <x:f>'看图清单'!C180</x:f>
        <x:v>尼可 (NicoVorgeil)</x:v>
      </x:c>
      <x:c r="D180" s="14" t="str">
        <x:f>'看图清单'!D180</x:f>
        <x:v>不死不幸</x:v>
      </x:c>
      <x:c r="E180" s="8"/>
      <x:c r="F180" s="8"/>
      <x:c r="G180" s="8"/>
      <x:c r="H180" s="8"/>
    </x:row>
    <x:row r="181" ht="28" customHeight="1">
      <x:c r="A181" s="14" t="n">
        <x:f>'看图清单'!A181</x:f>
        <x:v>180</x:v>
      </x:c>
      <x:c r="B181" s="14" t="str">
        <x:f>'看图清单'!B181</x:f>
        <x:v>Tier 3</x:v>
      </x:c>
      <x:c r="C181" s="14" t="str">
        <x:f>'看图清单'!C181</x:f>
        <x:v>齐木楠雄 (KusuoSaiki)</x:v>
      </x:c>
      <x:c r="D181" s="14" t="str">
        <x:f>'看图清单'!D181</x:f>
        <x:v>齐木楠雄的灾难</x:v>
      </x:c>
      <x:c r="E181" s="8"/>
      <x:c r="F181" s="8"/>
      <x:c r="G181" s="8"/>
      <x:c r="H181" s="8"/>
    </x:row>
    <x:row r="182" ht="28" customHeight="1">
      <x:c r="A182" s="14" t="n">
        <x:f>'看图清单'!A182</x:f>
        <x:v>181</x:v>
      </x:c>
      <x:c r="B182" s="14" t="str">
        <x:f>'看图清单'!B182</x:f>
        <x:v>Tier 4</x:v>
      </x:c>
      <x:c r="C182" s="14" t="str">
        <x:f>'看图清单'!C182</x:f>
        <x:v>穿宇航服拿着光剑的油女志乃</x:v>
      </x:c>
      <x:c r="D182" s="14" t="str">
        <x:f>'看图清单'!D182</x:f>
        <x:v>极度OOD组合</x:v>
      </x:c>
      <x:c r="E182" s="8"/>
      <x:c r="F182" s="8"/>
      <x:c r="G182" s="8"/>
      <x:c r="H182" s="8"/>
    </x:row>
    <x:row r="183" ht="28" customHeight="1">
      <x:c r="A183" s="14" t="n">
        <x:f>'看图清单'!A183</x:f>
        <x:v>182</x:v>
      </x:c>
      <x:c r="B183" s="14" t="str">
        <x:f>'看图清单'!B183</x:f>
        <x:v>Tier 4</x:v>
      </x:c>
      <x:c r="C183" s="14" t="str">
        <x:f>'看图清单'!C183</x:f>
        <x:v>穿着维多利亚女仆装手持平底锅的五条悟</x:v>
      </x:c>
      <x:c r="D183" s="14" t="str">
        <x:f>'看图清单'!D183</x:f>
        <x:v>极度OOD组合</x:v>
      </x:c>
      <x:c r="E183" s="8"/>
      <x:c r="F183" s="8"/>
      <x:c r="G183" s="8"/>
      <x:c r="H183" s="8"/>
    </x:row>
    <x:row r="184" ht="28" customHeight="1">
      <x:c r="A184" s="14" t="n">
        <x:f>'看图清单'!A184</x:f>
        <x:v>183</x:v>
      </x:c>
      <x:c r="B184" s="14" t="str">
        <x:f>'看图清单'!B184</x:f>
        <x:v>Tier 4</x:v>
      </x:c>
      <x:c r="C184" s="14" t="str">
        <x:f>'看图清单'!C184</x:f>
        <x:v>驾驶赛博朋克霓虹摩托车的灶门祢豆子</x:v>
      </x:c>
      <x:c r="D184" s="14" t="str">
        <x:f>'看图清单'!D184</x:f>
        <x:v>极度OOD组合</x:v>
      </x:c>
      <x:c r="E184" s="8"/>
      <x:c r="F184" s="8"/>
      <x:c r="G184" s="8"/>
      <x:c r="H184" s="8"/>
    </x:row>
    <x:row r="185" ht="28" customHeight="1">
      <x:c r="A185" s="14" t="n">
        <x:f>'看图清单'!A185</x:f>
        <x:v>184</x:v>
      </x:c>
      <x:c r="B185" s="14" t="str">
        <x:f>'看图清单'!B185</x:f>
        <x:v>Tier 4</x:v>
      </x:c>
      <x:c r="C185" s="14" t="str">
        <x:f>'看图清单'!C185</x:f>
        <x:v>在沙滩上穿着夏威夷花衬衫喝椰汁的利威尔</x:v>
      </x:c>
      <x:c r="D185" s="14" t="str">
        <x:f>'看图清单'!D185</x:f>
        <x:v>极度OOD组合</x:v>
      </x:c>
      <x:c r="E185" s="8"/>
      <x:c r="F185" s="8"/>
      <x:c r="G185" s="8"/>
      <x:c r="H185" s="8"/>
    </x:row>
    <x:row r="186" ht="28" customHeight="1">
      <x:c r="A186" s="14" t="n">
        <x:f>'看图清单'!A186</x:f>
        <x:v>185</x:v>
      </x:c>
      <x:c r="B186" s="14" t="str">
        <x:f>'看图清单'!B186</x:f>
        <x:v>Tier 4</x:v>
      </x:c>
      <x:c r="C186" s="14" t="str">
        <x:f>'看图清单'!C186</x:f>
        <x:v>穿着现代职场西装做PPT汇报的芙莉莲</x:v>
      </x:c>
      <x:c r="D186" s="14" t="str">
        <x:f>'看图清单'!D186</x:f>
        <x:v>极度OOD组合</x:v>
      </x:c>
      <x:c r="E186" s="8"/>
      <x:c r="F186" s="8"/>
      <x:c r="G186" s="8"/>
      <x:c r="H186" s="8"/>
    </x:row>
    <x:row r="187" ht="28" customHeight="1">
      <x:c r="A187" s="14" t="n">
        <x:f>'看图清单'!A187</x:f>
        <x:v>186</x:v>
      </x:c>
      <x:c r="B187" s="14" t="str">
        <x:f>'看图清单'!B187</x:f>
        <x:v>Tier 4</x:v>
      </x:c>
      <x:c r="C187" s="14" t="str">
        <x:f>'看图清单'!C187</x:f>
        <x:v>在演唱会舞台上弹奏电吉他的罗罗诺亚·索隆</x:v>
      </x:c>
      <x:c r="D187" s="14" t="str">
        <x:f>'看图清单'!D187</x:f>
        <x:v>极度OOD组合</x:v>
      </x:c>
      <x:c r="E187" s="8"/>
      <x:c r="F187" s="8"/>
      <x:c r="G187" s="8"/>
      <x:c r="H187" s="8"/>
    </x:row>
    <x:row r="188" ht="28" customHeight="1">
      <x:c r="A188" s="14" t="n">
        <x:f>'看图清单'!A188</x:f>
        <x:v>187</x:v>
      </x:c>
      <x:c r="B188" s="14" t="str">
        <x:f>'看图清单'!B188</x:f>
        <x:v>Tier 4</x:v>
      </x:c>
      <x:c r="C188" s="14" t="str">
        <x:f>'看图清单'!C188</x:f>
        <x:v>长出金色及地超级赛亚人长发的琦玉</x:v>
      </x:c>
      <x:c r="D188" s="14" t="str">
        <x:f>'看图清单'!D188</x:f>
        <x:v>极度OOD组合</x:v>
      </x:c>
      <x:c r="E188" s="8"/>
      <x:c r="F188" s="8"/>
      <x:c r="G188" s="8"/>
      <x:c r="H188" s="8"/>
    </x:row>
    <x:row r="189" ht="28" customHeight="1">
      <x:c r="A189" s="14" t="n">
        <x:f>'看图清单'!A189</x:f>
        <x:v>188</x:v>
      </x:c>
      <x:c r="B189" s="14" t="str">
        <x:f>'看图清单'!B189</x:f>
        <x:v>Tier 4</x:v>
      </x:c>
      <x:c r="C189" s="14" t="str">
        <x:f>'看图清单'!C189</x:f>
        <x:v>正在检修发光量子计算机终端的猫猫</x:v>
      </x:c>
      <x:c r="D189" s="14" t="str">
        <x:f>'看图清单'!D189</x:f>
        <x:v>极度OOD组合</x:v>
      </x:c>
      <x:c r="E189" s="8"/>
      <x:c r="F189" s="8"/>
      <x:c r="G189" s="8"/>
      <x:c r="H189" s="8"/>
    </x:row>
    <x:row r="190" ht="28" customHeight="1">
      <x:c r="A190" s="14" t="n">
        <x:f>'看图清单'!A190</x:f>
        <x:v>189</x:v>
      </x:c>
      <x:c r="B190" s="14" t="str">
        <x:f>'看图清单'!B190</x:f>
        <x:v>Tier 4</x:v>
      </x:c>
      <x:c r="C190" s="14" t="str">
        <x:f>'看图清单'!C190</x:f>
        <x:v>头戴彩色小丑假发手里拿着气球的乌尔奇奥拉</x:v>
      </x:c>
      <x:c r="D190" s="14" t="str">
        <x:f>'看图清单'!D190</x:f>
        <x:v>极度OOD组合</x:v>
      </x:c>
      <x:c r="E190" s="8"/>
      <x:c r="F190" s="8"/>
      <x:c r="G190" s="8"/>
      <x:c r="H190" s="8"/>
    </x:row>
    <x:row r="191" ht="28" customHeight="1">
      <x:c r="A191" s="14" t="n">
        <x:f>'看图清单'!A191</x:f>
        <x:v>190</x:v>
      </x:c>
      <x:c r="B191" s="14" t="str">
        <x:f>'看图清单'!B191</x:f>
        <x:v>Tier 4</x:v>
      </x:c>
      <x:c r="C191" s="14" t="str">
        <x:f>'看图清单'!C191</x:f>
        <x:v>用武士刀切开巨大悬浮披萨的六平千寻</x:v>
      </x:c>
      <x:c r="D191" s="14" t="str">
        <x:f>'看图清单'!D191</x:f>
        <x:v>极度OOD组合</x:v>
      </x:c>
      <x:c r="E191" s="8"/>
      <x:c r="F191" s="8"/>
      <x:c r="G191" s="8"/>
      <x:c r="H191" s="8"/>
    </x:row>
    <x:row r="192" ht="28" customHeight="1">
      <x:c r="A192" s="14" t="n">
        <x:f>'看图清单'!A192</x:f>
        <x:v>191</x:v>
      </x:c>
      <x:c r="B192" s="14" t="str">
        <x:f>'看图清单'!B192</x:f>
        <x:v>Tier 4</x:v>
      </x:c>
      <x:c r="C192" s="14" t="str">
        <x:f>'看图清单'!C192</x:f>
        <x:v>原创设定："赛博武士X"(Cyber-SamuraiX)</x:v>
      </x:c>
      <x:c r="D192" s="14" t="str">
        <x:f>'看图清单'!D192</x:f>
        <x:v>纯原创设定</x:v>
      </x:c>
      <x:c r="E192" s="8"/>
      <x:c r="F192" s="8"/>
      <x:c r="G192" s="8"/>
      <x:c r="H192" s="8"/>
    </x:row>
    <x:row r="193" ht="28" customHeight="1">
      <x:c r="A193" s="14" t="n">
        <x:f>'看图清单'!A193</x:f>
        <x:v>192</x:v>
      </x:c>
      <x:c r="B193" s="14" t="str">
        <x:f>'看图清单'!B193</x:f>
        <x:v>Tier 4</x:v>
      </x:c>
      <x:c r="C193" s="14" t="str">
        <x:f>'看图清单'!C193</x:f>
        <x:v>原创设定："水之法师卡埃尔"(Aqua-MageKael)</x:v>
      </x:c>
      <x:c r="D193" s="14" t="str">
        <x:f>'看图清单'!D193</x:f>
        <x:v>纯原创设定</x:v>
      </x:c>
      <x:c r="E193" s="8"/>
      <x:c r="F193" s="8"/>
      <x:c r="G193" s="8"/>
      <x:c r="H193" s="8"/>
    </x:row>
    <x:row r="194" ht="28" customHeight="1">
      <x:c r="A194" s="14" t="n">
        <x:f>'看图清单'!A194</x:f>
        <x:v>193</x:v>
      </x:c>
      <x:c r="B194" s="14" t="str">
        <x:f>'看图清单'!B194</x:f>
        <x:v>Tier 4</x:v>
      </x:c>
      <x:c r="C194" s="14" t="str">
        <x:f>'看图清单'!C194</x:f>
        <x:v>原创设定："蒸汽朋克炼金术士"</x:v>
      </x:c>
      <x:c r="D194" s="14" t="str">
        <x:f>'看图清单'!D194</x:f>
        <x:v>纯原创设定</x:v>
      </x:c>
      <x:c r="E194" s="8"/>
      <x:c r="F194" s="8"/>
      <x:c r="G194" s="8"/>
      <x:c r="H194" s="8"/>
    </x:row>
    <x:row r="195" ht="28" customHeight="1">
      <x:c r="A195" s="14" t="n">
        <x:f>'看图清单'!A195</x:f>
        <x:v>194</x:v>
      </x:c>
      <x:c r="B195" s="14" t="str">
        <x:f>'看图清单'!B195</x:f>
        <x:v>Tier 4</x:v>
      </x:c>
      <x:c r="C195" s="14" t="str">
        <x:f>'看图清单'!C195</x:f>
        <x:v>原创设定："空之骑士"(Aero-Knight)</x:v>
      </x:c>
      <x:c r="D195" s="14" t="str">
        <x:f>'看图清单'!D195</x:f>
        <x:v>纯原创设定</x:v>
      </x:c>
      <x:c r="E195" s="8"/>
      <x:c r="F195" s="8"/>
      <x:c r="G195" s="8"/>
      <x:c r="H195" s="8"/>
    </x:row>
    <x:row r="196" ht="28" customHeight="1">
      <x:c r="A196" s="14" t="n">
        <x:f>'看图清单'!A196</x:f>
        <x:v>195</x:v>
      </x:c>
      <x:c r="B196" s="14" t="str">
        <x:f>'看图清单'!B196</x:f>
        <x:v>Tier 4</x:v>
      </x:c>
      <x:c r="C196" s="14" t="str">
        <x:f>'看图清单'!C196</x:f>
        <x:v>原创设定："虚空女祭司" (VoidPriestess)</x:v>
      </x:c>
      <x:c r="D196" s="14" t="str">
        <x:f>'看图清单'!D196</x:f>
        <x:v>纯原创设定</x:v>
      </x:c>
      <x:c r="E196" s="8"/>
      <x:c r="F196" s="8"/>
      <x:c r="G196" s="8"/>
      <x:c r="H196" s="8"/>
    </x:row>
    <x:row r="197" ht="28" customHeight="1">
      <x:c r="A197" s="14" t="n">
        <x:f>'看图清单'!A197</x:f>
        <x:v>196</x:v>
      </x:c>
      <x:c r="B197" s="14" t="str">
        <x:f>'看图清单'!B197</x:f>
        <x:v>Tier 4</x:v>
      </x:c>
      <x:c r="C197" s="14" t="str">
        <x:f>'看图清单'!C197</x:f>
        <x:v>原创设定："霓虹忍者夜"(Neon-NinjaYoru)</x:v>
      </x:c>
      <x:c r="D197" s="14" t="str">
        <x:f>'看图清单'!D197</x:f>
        <x:v>纯原创设定</x:v>
      </x:c>
      <x:c r="E197" s="8"/>
      <x:c r="F197" s="8"/>
      <x:c r="G197" s="8"/>
      <x:c r="H197" s="8"/>
    </x:row>
    <x:row r="198" ht="28" customHeight="1">
      <x:c r="A198" s="14" t="n">
        <x:f>'看图清单'!A198</x:f>
        <x:v>197</x:v>
      </x:c>
      <x:c r="B198" s="14" t="str">
        <x:f>'看图清单'!B198</x:f>
        <x:v>Tier 4</x:v>
      </x:c>
      <x:c r="C198" s="14" t="str">
        <x:f>'看图清单'!C198</x:f>
        <x:v>原创设定："森之狂战士"(Flora-Berserker)</x:v>
      </x:c>
      <x:c r="D198" s="14" t="str">
        <x:f>'看图清单'!D198</x:f>
        <x:v>纯原创设定</x:v>
      </x:c>
      <x:c r="E198" s="8"/>
      <x:c r="F198" s="8"/>
      <x:c r="G198" s="8"/>
      <x:c r="H198" s="8"/>
    </x:row>
    <x:row r="199" ht="28" customHeight="1">
      <x:c r="A199" s="14" t="n">
        <x:f>'看图清单'!A199</x:f>
        <x:v>198</x:v>
      </x:c>
      <x:c r="B199" s="14" t="str">
        <x:f>'看图清单'!B199</x:f>
        <x:v>Tier 4</x:v>
      </x:c>
      <x:c r="C199" s="14" t="str">
        <x:f>'看图清单'!C199</x:f>
        <x:v>原创设定："机甲女仆阿尔法"(Mecha-MaidAlpha)</x:v>
      </x:c>
      <x:c r="D199" s="14" t="str">
        <x:f>'看图清单'!D199</x:f>
        <x:v>纯原创设定</x:v>
      </x:c>
      <x:c r="E199" s="8"/>
      <x:c r="F199" s="8"/>
      <x:c r="G199" s="8"/>
      <x:c r="H199" s="8"/>
    </x:row>
    <x:row r="200" ht="28" customHeight="1">
      <x:c r="A200" s="14" t="n">
        <x:f>'看图清单'!A200</x:f>
        <x:v>199</x:v>
      </x:c>
      <x:c r="B200" s="14" t="str">
        <x:f>'看图清单'!B200</x:f>
        <x:v>Tier 4</x:v>
      </x:c>
      <x:c r="C200" s="14" t="str">
        <x:f>'看图清单'!C200</x:f>
        <x:v>原创设定："时空怪盗"(Chrono-Thief)</x:v>
      </x:c>
      <x:c r="D200" s="14" t="str">
        <x:f>'看图清单'!D200</x:f>
        <x:v>纯原创设定</x:v>
      </x:c>
      <x:c r="E200" s="8"/>
      <x:c r="F200" s="8"/>
      <x:c r="G200" s="8"/>
      <x:c r="H200" s="8"/>
    </x:row>
    <x:row r="201" ht="28" customHeight="1">
      <x:c r="A201" s="14" t="n">
        <x:f>'看图清单'!A201</x:f>
        <x:v>200</x:v>
      </x:c>
      <x:c r="B201" s="14" t="str">
        <x:f>'看图清单'!B201</x:f>
        <x:v>Tier 4</x:v>
      </x:c>
      <x:c r="C201" s="14" t="str">
        <x:f>'看图清单'!C201</x:f>
        <x:v>原创设定："岩浆主厨"(Magma-Chef)</x:v>
      </x:c>
      <x:c r="D201" s="14" t="str">
        <x:f>'看图清单'!D201</x:f>
        <x:v>纯原创设定</x:v>
      </x:c>
      <x:c r="E201" s="8"/>
      <x:c r="F201" s="8"/>
      <x:c r="G201" s="8"/>
      <x:c r="H201" s="8"/>
    </x:row>
  </x:sheetData>
  <x:conditionalFormatting sqref="F2:F201">
    <x:cfRule type="containsText" dxfId="0" priority="1" operator="containsText" text="错误"/>
    <x:cfRule type="containsText" dxfId="1" priority="2" operator="containsText" text="通过"/>
    <x:cfRule type="containsText" dxfId="2" priority="3" operator="containsText" text="拒绝"/>
  </x:conditionalFormatting>
  <x:dataValidations count="1">
    <x:dataValidation type="list" sqref="F2:F201">
      <x:formula1>"通过,错误,拒绝"</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10" hidden="0" customWidth="1"/>
    <x:col min="4" max="4" width="10" hidden="0" customWidth="1"/>
    <x:col min="5" max="5" width="10" hidden="0" customWidth="1"/>
    <x:col min="6" max="6" width="10" hidden="0" customWidth="1"/>
    <x:col min="7" max="7" width="12" hidden="0" customWidth="1"/>
    <x:col min="8" max="8" width="12" hidden="0" customWidth="1"/>
  </x:cols>
  <x:sheetData>
    <x:row r="1" ht="30" customHeight="1">
      <x:c r="A1" s="30" t="str">
        <x:v>准确率汇总（按 Tier，拒绝不计入分母）</x:v>
      </x:c>
    </x:row>
    <x:row r="3" ht="26" customHeight="1">
      <x:c r="A3" s="33" t="str">
        <x:v>范围</x:v>
      </x:c>
      <x:c r="B3" s="33" t="str">
        <x:v>角色数</x:v>
      </x:c>
      <x:c r="C3" s="33" t="str">
        <x:v>通过</x:v>
      </x:c>
      <x:c r="D3" s="33" t="str">
        <x:v>错误</x:v>
      </x:c>
      <x:c r="E3" s="33" t="str">
        <x:v>拒绝</x:v>
      </x:c>
      <x:c r="F3" s="33" t="str">
        <x:v>已评</x:v>
      </x:c>
      <x:c r="G3" s="33" t="str">
        <x:v>有效样本</x:v>
      </x:c>
      <x:c r="H3" s="33" t="str">
        <x:v>准确率</x:v>
      </x:c>
    </x:row>
    <x:row r="4">
      <x:c r="A4" s="35" t="str">
        <x:v>Tier 1</x:v>
      </x:c>
      <x:c r="B4" s="37" t="n">
        <x:v>40</x:v>
      </x:c>
      <x:c r="C4" s="37" t="n">
        <x:f>COUNTIFS('打分记录'!$B$2:$B$201,"Tier 1",'打分记录'!$F$2:$F$201,"通过")</x:f>
        <x:v>0</x:v>
      </x:c>
      <x:c r="D4" s="37" t="n">
        <x:f>COUNTIFS('打分记录'!$B$2:$B$201,"Tier 1",'打分记录'!$F$2:$F$201,"错误")</x:f>
        <x:v>0</x:v>
      </x:c>
      <x:c r="E4" s="37" t="n">
        <x:f>COUNTIFS('打分记录'!$B$2:$B$201,"Tier 1",'打分记录'!$F$2:$F$201,"拒绝")</x:f>
        <x:v>0</x:v>
      </x:c>
      <x:c r="F4" s="37" t="n">
        <x:f>C4+D4+E4</x:f>
        <x:v>0</x:v>
      </x:c>
      <x:c r="G4" s="37" t="n">
        <x:f>C4+D4</x:f>
        <x:v>0</x:v>
      </x:c>
      <x:c r="H4" s="36" t="str">
        <x:f>IF(G4=0,"",C4/G4)</x:f>
      </x:c>
    </x:row>
    <x:row r="5">
      <x:c r="A5" s="35" t="str">
        <x:v>Tier 2</x:v>
      </x:c>
      <x:c r="B5" s="37" t="n">
        <x:v>100</x:v>
      </x:c>
      <x:c r="C5" s="37" t="n">
        <x:f>COUNTIFS('打分记录'!$B$2:$B$201,"Tier 2",'打分记录'!$F$2:$F$201,"通过")</x:f>
        <x:v>0</x:v>
      </x:c>
      <x:c r="D5" s="37" t="n">
        <x:f>COUNTIFS('打分记录'!$B$2:$B$201,"Tier 2",'打分记录'!$F$2:$F$201,"错误")</x:f>
        <x:v>0</x:v>
      </x:c>
      <x:c r="E5" s="37" t="n">
        <x:f>COUNTIFS('打分记录'!$B$2:$B$201,"Tier 2",'打分记录'!$F$2:$F$201,"拒绝")</x:f>
        <x:v>0</x:v>
      </x:c>
      <x:c r="F5" s="37" t="n">
        <x:f>C5+D5+E5</x:f>
        <x:v>0</x:v>
      </x:c>
      <x:c r="G5" s="37" t="n">
        <x:f>C5+D5</x:f>
        <x:v>0</x:v>
      </x:c>
      <x:c r="H5" s="36" t="str">
        <x:f>IF(G5=0,"",C5/G5)</x:f>
      </x:c>
    </x:row>
    <x:row r="6">
      <x:c r="A6" s="35" t="str">
        <x:v>Tier 3</x:v>
      </x:c>
      <x:c r="B6" s="37" t="n">
        <x:v>40</x:v>
      </x:c>
      <x:c r="C6" s="37" t="n">
        <x:f>COUNTIFS('打分记录'!$B$2:$B$201,"Tier 3",'打分记录'!$F$2:$F$201,"通过")</x:f>
        <x:v>0</x:v>
      </x:c>
      <x:c r="D6" s="37" t="n">
        <x:f>COUNTIFS('打分记录'!$B$2:$B$201,"Tier 3",'打分记录'!$F$2:$F$201,"错误")</x:f>
        <x:v>0</x:v>
      </x:c>
      <x:c r="E6" s="37" t="n">
        <x:f>COUNTIFS('打分记录'!$B$2:$B$201,"Tier 3",'打分记录'!$F$2:$F$201,"拒绝")</x:f>
        <x:v>0</x:v>
      </x:c>
      <x:c r="F6" s="37" t="n">
        <x:f>C6+D6+E6</x:f>
        <x:v>0</x:v>
      </x:c>
      <x:c r="G6" s="37" t="n">
        <x:f>C6+D6</x:f>
        <x:v>0</x:v>
      </x:c>
      <x:c r="H6" s="36" t="str">
        <x:f>IF(G6=0,"",C6/G6)</x:f>
      </x:c>
    </x:row>
    <x:row r="7">
      <x:c r="A7" s="35" t="str">
        <x:v>Tier 4</x:v>
      </x:c>
      <x:c r="B7" s="37" t="n">
        <x:v>20</x:v>
      </x:c>
      <x:c r="C7" s="37" t="n">
        <x:f>COUNTIFS('打分记录'!$B$2:$B$201,"Tier 4",'打分记录'!$F$2:$F$201,"通过")</x:f>
        <x:v>0</x:v>
      </x:c>
      <x:c r="D7" s="37" t="n">
        <x:f>COUNTIFS('打分记录'!$B$2:$B$201,"Tier 4",'打分记录'!$F$2:$F$201,"错误")</x:f>
        <x:v>0</x:v>
      </x:c>
      <x:c r="E7" s="37" t="n">
        <x:f>COUNTIFS('打分记录'!$B$2:$B$201,"Tier 4",'打分记录'!$F$2:$F$201,"拒绝")</x:f>
        <x:v>0</x:v>
      </x:c>
      <x:c r="F7" s="37" t="n">
        <x:f>C7+D7+E7</x:f>
        <x:v>0</x:v>
      </x:c>
      <x:c r="G7" s="37" t="n">
        <x:f>C7+D7</x:f>
        <x:v>0</x:v>
      </x:c>
      <x:c r="H7" s="36" t="str">
        <x:f>IF(G7=0,"",C7/G7)</x:f>
      </x:c>
    </x:row>
    <x:row r="8">
      <x:c r="A8" s="35" t="str">
        <x:v>全部</x:v>
      </x:c>
      <x:c r="B8" s="37" t="n">
        <x:v>200</x:v>
      </x:c>
      <x:c r="C8" s="37" t="n">
        <x:f>COUNTIFS('打分记录'!$F$2:$F$201,"通过")</x:f>
        <x:v>0</x:v>
      </x:c>
      <x:c r="D8" s="37" t="n">
        <x:f>COUNTIFS('打分记录'!$F$2:$F$201,"错误")</x:f>
        <x:v>0</x:v>
      </x:c>
      <x:c r="E8" s="37" t="n">
        <x:f>COUNTIFS('打分记录'!$F$2:$F$201,"拒绝")</x:f>
        <x:v>0</x:v>
      </x:c>
      <x:c r="F8" s="37" t="n">
        <x:f>C8+D8+E8</x:f>
        <x:v>0</x:v>
      </x:c>
      <x:c r="G8" s="37" t="n">
        <x:f>C8+D8</x:f>
        <x:v>0</x:v>
      </x:c>
      <x:c r="H8" s="36" t="str">
        <x:f>IF(G8=0,"",C8/G8)</x:f>
      </x:c>
    </x:row>
    <x:row r="10" ht="30" customHeight="1">
      <x:c r="A10" s="40" t="str">
        <x:v>说明：判定为“拒绝”的图片不计入错误，也不计入分母；准确率 = 通过 ÷ 有效样本（通过＋错误）。</x:v>
      </x:c>
    </x:row>
  </x:sheetData>
  <x:mergeCells>
    <x:mergeCell ref="A1:H1"/>
    <x:mergeCell ref="A10:H1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26" hidden="0" customWidth="1"/>
    <x:col min="4" max="4" width="54" hidden="0" customWidth="1"/>
    <x:col min="5" max="5" width="46" hidden="0" customWidth="1"/>
  </x:cols>
  <x:sheetData>
    <x:row r="1" ht="30" customHeight="1">
      <x:c r="A1" s="30" t="str">
        <x:v>人工比对判读规则（总览）</x:v>
      </x:c>
    </x:row>
    <x:row r="3" ht="26" customHeight="1">
      <x:c r="A3" s="33" t="str">
        <x:v>Tier</x:v>
      </x:c>
      <x:c r="B3" s="33" t="str">
        <x:v>序号范围</x:v>
      </x:c>
      <x:c r="C3" s="33" t="str">
        <x:v>核心问题</x:v>
      </x:c>
      <x:c r="D3" s="33" t="str">
        <x:v>判错红线</x:v>
      </x:c>
      <x:c r="E3" s="33" t="str">
        <x:v>示例</x:v>
      </x:c>
    </x:row>
    <x:row r="4" ht="48" customHeight="1">
      <x:c r="A4" s="43" t="str">
        <x:v>Tier 1</x:v>
      </x:c>
      <x:c r="B4" s="8" t="str">
        <x:v>1–40</x:v>
      </x:c>
      <x:c r="C4" s="8" t="str">
        <x:v>缺没缺（基础特征保真）</x:v>
      </x:c>
      <x:c r="D4" s="8" t="str">
        <x:v>原子特征四项全齐、位置正确才算过；少画一项或画错位置/样式即判错</x:v>
      </x:c>
      <x:c r="E4" s="8" t="str">
        <x:v>路飞疤痕换边、索隆少一把刀</x:v>
      </x:c>
    </x:row>
    <x:row r="5" ht="48" customHeight="1">
      <x:c r="A5" s="46" t="str">
        <x:v>Tier 2</x:v>
      </x:c>
      <x:c r="B5" s="8" t="str">
        <x:v>41–140</x:v>
      </x:c>
      <x:c r="C5" s="8" t="str">
        <x:v>混没混（概念解耦与物理逻辑）</x:v>
      </x:c>
      <x:c r="D5" s="8" t="str">
        <x:v>特征串位、颜色污染、左右镜像、结构穿模、几何崩坏即判错</x:v>
      </x:c>
      <x:c r="E5" s="8" t="str">
        <x:v>轰焦冻红白发融成粉色、炭治郎格纹扭曲</x:v>
      </x:c>
    </x:row>
    <x:row r="6" ht="48" customHeight="1">
      <x:c r="A6" s="49" t="str">
        <x:v>Tier 3</x:v>
      </x:c>
      <x:c r="B6" s="8" t="str">
        <x:v>141–180</x:v>
      </x:c>
      <x:c r="C6" s="8" t="str">
        <x:v>准不准（画风与长尾概念）</x:v>
      </x:c>
      <x:c r="D6" s="8" t="str">
        <x:v>被大众脸/大众画风拉回平均值，标志性特征走样或退化即判错</x:v>
      </x:c>
      <x:c r="E6" s="8" t="str">
        <x:v>伊藤开司尖下巴消失、艾达星眼退化成普通大眼</x:v>
      </x:c>
    </x:row>
    <x:row r="7" ht="48" customHeight="1">
      <x:c r="A7" s="52" t="str">
        <x:v>Tier 4</x:v>
      </x:c>
      <x:c r="B7" s="8" t="str">
        <x:v>181–200</x:v>
      </x:c>
      <x:c r="C7" s="8" t="str">
        <x:v>吞没吞（极端组合与原创）</x:v>
      </x:c>
      <x:c r="D7" s="8" t="str">
        <x:v>强元素吃掉弱元素、元素糊成噪点即判错；原创设定按“元素全覆盖＋内部自洽”判</x:v>
      </x:c>
      <x:c r="E7" s="8" t="str">
        <x:v>女仆装五条悟丢眼罩、赛博武士X元素融合</x:v>
      </x:c>
    </x:row>
    <x:row r="9" ht="26" customHeight="1">
      <x:c r="A9" s="55" t="str">
        <x:v>操作要点</x:v>
      </x:c>
    </x:row>
    <x:row r="10" ht="28" customHeight="1">
      <x:c r="A10" s="56" t="str">
        <x:v>1. 拒答处理：拒绝生成/安全拦截的图，在“判定”列选“拒绝”，不判错、不进分母。</x:v>
      </x:c>
      <x:c r="B10" s="56"/>
      <x:c r="C10" s="56"/>
      <x:c r="D10" s="56"/>
      <x:c r="E10" s="56"/>
    </x:row>
    <x:row r="11" ht="28" customHeight="1">
      <x:c r="A11" s="56" t="str">
        <x:v>2. 固定扫描顺序：拒答 → 脸/发型 → 配饰 → 服装 → 道具/身体 → 背景污染，顺序不变。</x:v>
      </x:c>
      <x:c r="B11" s="56"/>
      <x:c r="C11" s="56"/>
      <x:c r="D11" s="56"/>
      <x:c r="E11" s="56"/>
    </x:row>
    <x:row r="12" ht="28" customHeight="1">
      <x:c r="A12" s="56" t="str">
        <x:v>3. 当场判定、当场记 3–5 字死因（如“缺护额”“格纹崩坏”“元素吞噬”），不回头改。</x:v>
      </x:c>
      <x:c r="B12" s="56"/>
      <x:c r="C12" s="56"/>
      <x:c r="D12" s="56"/>
      <x:c r="E12" s="56"/>
    </x:row>
    <x:row r="13" ht="28" customHeight="1">
      <x:c r="A13" s="56" t="str">
        <x:v>4. 按 Tier 分批看；每批开看前先看 5–10 张重新校准标准。</x:v>
      </x:c>
      <x:c r="B13" s="56"/>
      <x:c r="C13" s="56"/>
      <x:c r="D13" s="56"/>
      <x:c r="E13" s="56"/>
    </x:row>
    <x:row r="14" ht="28" customHeight="1">
      <x:c r="A14" s="56" t="str">
        <x:v>5. 全部看完后随机抽 10% 复看一遍，统计自己的前后一致性。</x:v>
      </x:c>
      <x:c r="B14" s="56"/>
      <x:c r="C14" s="56"/>
      <x:c r="D14" s="56"/>
      <x:c r="E14" s="56"/>
    </x:row>
    <x:row r="15" ht="28" customHeight="1">
      <x:c r="A15" s="56" t="str">
        <x:v>6. 容错标准：采用“一处细节错即判错”；红线先写死、全程不变。</x:v>
      </x:c>
      <x:c r="B15" s="56"/>
      <x:c r="C15" s="56"/>
      <x:c r="D15" s="56"/>
      <x:c r="E15" s="56"/>
    </x:row>
  </x:sheetData>
  <x:mergeCells>
    <x:mergeCell ref="A1:E1"/>
    <x:mergeCell ref="A9:E9"/>
    <x:mergeCell ref="A10:E10"/>
    <x:mergeCell ref="A11:E11"/>
    <x:mergeCell ref="A12:E12"/>
    <x:mergeCell ref="A13:E13"/>
    <x:mergeCell ref="A14:E14"/>
    <x:mergeCell ref="A15:E1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76" hidden="0" customWidth="1"/>
  </x:cols>
  <x:sheetData>
    <x:row r="1" ht="30" customHeight="1">
      <x:c r="A1" s="30" t="str">
        <x:v>CSV 数据修正说明</x:v>
      </x:c>
    </x:row>
    <x:row r="3" ht="24" customHeight="1">
      <x:c r="A3" s="33" t="str">
        <x:v>项目</x:v>
      </x:c>
      <x:c r="B3" s="33" t="str">
        <x:v>内容</x:v>
      </x:c>
    </x:row>
    <x:row r="4" ht="34" customHeight="1">
      <x:c r="A4" s="57" t="str">
        <x:v>原文件</x:v>
      </x:c>
      <x:c r="B4" s="8" t="str">
        <x:v>D:\downloads\漫画结果\characters_with_tiers_final.csv（GB18030 编码，204 行）</x:v>
      </x:c>
    </x:row>
    <x:row r="5" ht="34" customHeight="1">
      <x:c r="A5" s="57" t="str">
        <x:v>修复内容</x:v>
      </x:c>
      <x:c r="B5" s="8" t="str">
        <x:v>第 41 行油女志乃、第 145 行芙莉莲的原子特征库被 Tier 4 组合覆盖，已按评估目标重建</x:v>
      </x:c>
    </x:row>
    <x:row r="6" ht="34" customHeight="1">
      <x:c r="A6" s="57" t="str">
        <x:v>第 41 行原值</x:v>
      </x:c>
      <x:c r="B6" s="8" t="str">
        <x:v>["全套白色重型宇航服", "黑色小圆墨镜", "手持发出嗡嗡声的蓝色光剑"]（= 第181行组合）</x:v>
      </x:c>
    </x:row>
    <x:row r="7" ht="34" customHeight="1">
      <x:c r="A7" s="57" t="str">
        <x:v>第 41 行修复值</x:v>
      </x:c>
      <x:c r="B7" s="8" t="str">
        <x:v>["黑色小圆墨镜", "高领外套拉链拉满遮住下半脸", "深色长风衣", "细小黑色寄坏虫群围绕"]</x:v>
      </x:c>
    </x:row>
    <x:row r="8" ht="34" customHeight="1">
      <x:c r="A8" s="57" t="str">
        <x:v>第 41 行依据</x:v>
      </x:c>
      <x:c r="B8" s="8" t="str">
        <x:v>评估目标：面部双重严重遮挡（墨镜+高领）的空间关系，细小群聚物（飞虫）防噪点干扰</x:v>
      </x:c>
    </x:row>
    <x:row r="9" ht="34" customHeight="1">
      <x:c r="A9" s="57" t="str">
        <x:v>第 145 行原值</x:v>
      </x:c>
      <x:c r="B9" s="8" t="str">
        <x:v>["白色双马尾", "精灵长耳", "身穿现代深色修身职场西装", "站在投影幕布前手持激光笔做PPT汇报"]（= 第185行组合）</x:v>
      </x:c>
    </x:row>
    <x:row r="10" ht="34" customHeight="1">
      <x:c r="A10" s="57" t="str">
        <x:v>第 145 行修复值</x:v>
      </x:c>
      <x:c r="B10" s="8" t="str">
        <x:v>["白色极长双马尾", "精灵长耳", "佩戴耳环", "白色系法师长袍"]</x:v>
      </x:c>
    </x:row>
    <x:row r="11" ht="34" customHeight="1">
      <x:c r="A11" s="57" t="str">
        <x:v>第 145 行依据</x:v>
      </x:c>
      <x:c r="B11" s="8" t="str">
        <x:v>评估目标：长尾精灵耳与极长双马尾的空间重叠度计算，耳环微光透射</x:v>
      </x:c>
    </x:row>
    <x:row r="12" ht="34" customHeight="1">
      <x:c r="A12" s="57" t="str">
        <x:v>待确认</x:v>
      </x:c>
      <x:c r="B12" s="8" t="str">
        <x:v>两行修复值中的服装/虫群等细节系按评估目标与角色原型推断，请对照原设定或原图确认；若不一致，改“看图清单”第5列即可</x:v>
      </x:c>
    </x:row>
    <x:row r="13" ht="34" customHeight="1">
      <x:c r="A13" s="57" t="str">
        <x:v>其他行</x:v>
      </x:c>
      <x:c r="B13" s="8" t="str">
        <x:v>已扫描全部 200 行：仅上述两行存在特征串行，其余行无重复、无空值</x:v>
      </x:c>
    </x:row>
    <x:row r="14" ht="34" customHeight="1">
      <x:c r="A14" s="57" t="str">
        <x:v>修正版 CSV</x:v>
      </x:c>
      <x:c r="B14" s="8" t="str">
        <x:v>characters_with_tiers_final_修正版.csv（与原文件同结构、同编码 GB18030，可直接替换使用）</x:v>
      </x:c>
    </x:row>
    <x:row r="15" ht="34" customHeight="1">
      <x:c r="A15" s="57" t="str">
        <x:v>打分表用法</x:v>
      </x:c>
      <x:c r="B15" s="8" t="str">
        <x:v>打分记录每行对应一个角色一张图；判定列下拉选“通过/错误/拒绝”；汇总表自动按 Tier 计算准确率，拒绝不计入分母</x:v>
      </x:c>
    </x:row>
    <x:row r="16" ht="34" customHeight="1">
      <x:c r="A16" s="57" t="str">
        <x:v>主实验扩展</x:v>
      </x:c>
      <x:c r="B16" s="8" t="str">
        <x:v>若后续 4 个模型各跑一遍，可在打分记录中复制 4 份区块并加“模型”列，汇总公式需相应扩展（需要时我可以再做）</x:v>
      </x:c>
    </x:row>
  </x:sheetData>
  <x:mergeCells>
    <x:mergeCell ref="A1:D1"/>
  </x:mergeCells>
  <x:pageMargins left="0.7" right="0.7" top="0.75" bottom="0.75" header="0.3" footer="0.3"/>
</x:worksheet>
</file>